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ansoag\Downloads\"/>
    </mc:Choice>
  </mc:AlternateContent>
  <xr:revisionPtr revIDLastSave="0" documentId="13_ncr:1_{4F81494D-580B-4E0E-B79D-AB17A14F097A}" xr6:coauthVersionLast="47" xr6:coauthVersionMax="47" xr10:uidLastSave="{00000000-0000-0000-0000-000000000000}"/>
  <bookViews>
    <workbookView xWindow="20370" yWindow="1245" windowWidth="29040" windowHeight="15720" xr2:uid="{00000000-000D-0000-FFFF-FFFF00000000}"/>
  </bookViews>
  <sheets>
    <sheet name="Sheet0" sheetId="1" r:id="rId1"/>
  </sheets>
  <definedNames>
    <definedName name="_xlnm._FilterDatabase" localSheetId="0" hidden="1">Sheet0!$A$1:$CO$153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153" i="1" l="1"/>
  <c r="CJ153" i="1"/>
  <c r="CI153" i="1"/>
  <c r="CK152" i="1"/>
  <c r="CJ152" i="1"/>
  <c r="CI152" i="1"/>
  <c r="CK151" i="1"/>
  <c r="CJ151" i="1"/>
  <c r="CI151" i="1"/>
  <c r="CK150" i="1"/>
  <c r="CJ150" i="1"/>
  <c r="CI150" i="1"/>
  <c r="CK149" i="1"/>
  <c r="CJ149" i="1"/>
  <c r="CI149" i="1"/>
  <c r="P149" i="1"/>
  <c r="CK85" i="1"/>
  <c r="CJ85" i="1"/>
  <c r="CI85" i="1"/>
  <c r="CK38" i="1"/>
  <c r="CJ38" i="1"/>
  <c r="CI38" i="1"/>
  <c r="CH38" i="1"/>
  <c r="CF38" i="1"/>
  <c r="CK49" i="1"/>
  <c r="CJ49" i="1"/>
  <c r="CI49" i="1"/>
  <c r="CK54" i="1"/>
  <c r="CJ54" i="1"/>
  <c r="CI54" i="1"/>
  <c r="CK116" i="1"/>
  <c r="CJ116" i="1"/>
  <c r="CI116" i="1"/>
  <c r="CK20" i="1"/>
  <c r="CJ20" i="1"/>
  <c r="CI20" i="1"/>
  <c r="CK31" i="1"/>
  <c r="CJ31" i="1"/>
  <c r="CI31" i="1"/>
  <c r="P31" i="1"/>
  <c r="CK72" i="1"/>
  <c r="CJ72" i="1"/>
  <c r="CI72" i="1"/>
  <c r="CK23" i="1"/>
  <c r="CJ23" i="1"/>
  <c r="CI23" i="1"/>
  <c r="CK51" i="1"/>
  <c r="CJ51" i="1"/>
  <c r="CI51" i="1"/>
  <c r="CK114" i="1"/>
  <c r="CJ114" i="1"/>
  <c r="CI114" i="1"/>
  <c r="CK129" i="1"/>
  <c r="CJ129" i="1"/>
  <c r="CI129" i="1"/>
  <c r="CK148" i="1"/>
  <c r="CJ148" i="1"/>
  <c r="CI148" i="1"/>
  <c r="CH148" i="1"/>
  <c r="CF148" i="1"/>
  <c r="CK66" i="1"/>
  <c r="CJ66" i="1"/>
  <c r="CI66" i="1"/>
  <c r="CH66" i="1"/>
  <c r="CF66" i="1"/>
  <c r="CK101" i="1"/>
  <c r="CJ101" i="1"/>
  <c r="CI101" i="1"/>
  <c r="CH101" i="1"/>
  <c r="CF101" i="1"/>
  <c r="CK24" i="1"/>
  <c r="CJ24" i="1"/>
  <c r="CI24" i="1"/>
  <c r="CH24" i="1"/>
  <c r="CF24" i="1"/>
  <c r="CK92" i="1"/>
  <c r="CJ92" i="1"/>
  <c r="CI92" i="1"/>
  <c r="CH92" i="1"/>
  <c r="CF92" i="1"/>
  <c r="CK126" i="1"/>
  <c r="CJ126" i="1"/>
  <c r="CI126" i="1"/>
  <c r="CK50" i="1"/>
  <c r="CJ50" i="1"/>
  <c r="CI50" i="1"/>
  <c r="CK8" i="1"/>
  <c r="CJ8" i="1"/>
  <c r="CI8" i="1"/>
  <c r="CK34" i="1"/>
  <c r="CJ34" i="1"/>
  <c r="CI34" i="1"/>
  <c r="CK61" i="1"/>
  <c r="CJ61" i="1"/>
  <c r="CI61" i="1"/>
  <c r="CK70" i="1"/>
  <c r="CJ70" i="1"/>
  <c r="CI70" i="1"/>
  <c r="CK130" i="1"/>
  <c r="CJ130" i="1"/>
  <c r="CI130" i="1"/>
  <c r="CK48" i="1"/>
  <c r="CJ48" i="1"/>
  <c r="CI48" i="1"/>
  <c r="CK65" i="1"/>
  <c r="CJ65" i="1"/>
  <c r="CI65" i="1"/>
  <c r="CK64" i="1"/>
  <c r="CJ64" i="1"/>
  <c r="CI64" i="1"/>
  <c r="CK75" i="1"/>
  <c r="CJ75" i="1"/>
  <c r="CI75" i="1"/>
  <c r="CK106" i="1"/>
  <c r="CJ106" i="1"/>
  <c r="CI106" i="1"/>
  <c r="CK16" i="1"/>
  <c r="CJ16" i="1"/>
  <c r="CI16" i="1"/>
  <c r="CK94" i="1"/>
  <c r="CJ94" i="1"/>
  <c r="CI94" i="1"/>
  <c r="CK127" i="1"/>
  <c r="CJ127" i="1"/>
  <c r="CI127" i="1"/>
  <c r="CK147" i="1"/>
  <c r="CJ147" i="1"/>
  <c r="CI147" i="1"/>
  <c r="CK14" i="1"/>
  <c r="CJ14" i="1"/>
  <c r="CI14" i="1"/>
  <c r="CK81" i="1"/>
  <c r="CJ81" i="1"/>
  <c r="CI81" i="1"/>
  <c r="CK113" i="1"/>
  <c r="CJ113" i="1"/>
  <c r="CI113" i="1"/>
  <c r="CK39" i="1"/>
  <c r="CJ39" i="1"/>
  <c r="CI39" i="1"/>
  <c r="CK18" i="1"/>
  <c r="CJ18" i="1"/>
  <c r="CI18" i="1"/>
  <c r="CK86" i="1"/>
  <c r="CJ86" i="1"/>
  <c r="CI86" i="1"/>
  <c r="CK109" i="1"/>
  <c r="CJ109" i="1"/>
  <c r="CI109" i="1"/>
  <c r="CK146" i="1"/>
  <c r="CJ146" i="1"/>
  <c r="CI146" i="1"/>
  <c r="CK6" i="1"/>
  <c r="CJ6" i="1"/>
  <c r="CI6" i="1"/>
  <c r="CK82" i="1"/>
  <c r="CJ82" i="1"/>
  <c r="CI82" i="1"/>
  <c r="CK69" i="1"/>
  <c r="CJ69" i="1"/>
  <c r="CI69" i="1"/>
  <c r="CK9" i="1"/>
  <c r="CJ9" i="1"/>
  <c r="CI9" i="1"/>
  <c r="CK124" i="1"/>
  <c r="CJ124" i="1"/>
  <c r="CI124" i="1"/>
  <c r="CK95" i="1"/>
  <c r="CJ95" i="1"/>
  <c r="CI95" i="1"/>
  <c r="CK83" i="1"/>
  <c r="CJ83" i="1"/>
  <c r="CI83" i="1"/>
  <c r="CK12" i="1"/>
  <c r="CJ12" i="1"/>
  <c r="CI12" i="1"/>
  <c r="CK103" i="1"/>
  <c r="CJ103" i="1"/>
  <c r="CI103" i="1"/>
  <c r="CK36" i="1"/>
  <c r="CJ36" i="1"/>
  <c r="CI36" i="1"/>
  <c r="P36" i="1"/>
  <c r="CK145" i="1"/>
  <c r="CJ145" i="1"/>
  <c r="CI145" i="1"/>
  <c r="CK35" i="1"/>
  <c r="CJ35" i="1"/>
  <c r="CI35" i="1"/>
  <c r="CK144" i="1"/>
  <c r="CJ144" i="1"/>
  <c r="CI144" i="1"/>
  <c r="CH144" i="1"/>
  <c r="CF144" i="1"/>
  <c r="CK26" i="1"/>
  <c r="CJ26" i="1"/>
  <c r="CI26" i="1"/>
  <c r="CH26" i="1"/>
  <c r="CF26" i="1"/>
  <c r="CK15" i="1"/>
  <c r="CJ15" i="1"/>
  <c r="CI15" i="1"/>
  <c r="CH15" i="1"/>
  <c r="CF15" i="1"/>
  <c r="CK131" i="1"/>
  <c r="CJ131" i="1"/>
  <c r="CI131" i="1"/>
  <c r="CH131" i="1"/>
  <c r="CF131" i="1"/>
  <c r="CK123" i="1"/>
  <c r="CJ123" i="1"/>
  <c r="CI123" i="1"/>
  <c r="CH123" i="1"/>
  <c r="CF123" i="1"/>
  <c r="CK44" i="1"/>
  <c r="CJ44" i="1"/>
  <c r="CI44" i="1"/>
  <c r="CH44" i="1"/>
  <c r="CF44" i="1"/>
  <c r="CK4" i="1"/>
  <c r="CJ4" i="1"/>
  <c r="CI4" i="1"/>
  <c r="CK19" i="1"/>
  <c r="CJ19" i="1"/>
  <c r="CI19" i="1"/>
  <c r="CK5" i="1"/>
  <c r="CJ5" i="1"/>
  <c r="CI5" i="1"/>
  <c r="CK100" i="1"/>
  <c r="CJ100" i="1"/>
  <c r="CI100" i="1"/>
  <c r="P100" i="1"/>
  <c r="CK62" i="1"/>
  <c r="CJ62" i="1"/>
  <c r="CI62" i="1"/>
  <c r="CK53" i="1"/>
  <c r="CJ53" i="1"/>
  <c r="CI53" i="1"/>
  <c r="CK71" i="1"/>
  <c r="CJ71" i="1"/>
  <c r="CI71" i="1"/>
  <c r="CK108" i="1"/>
  <c r="CJ108" i="1"/>
  <c r="CI108" i="1"/>
  <c r="CK115" i="1"/>
  <c r="CJ115" i="1"/>
  <c r="CI115" i="1"/>
  <c r="CK143" i="1"/>
  <c r="CJ143" i="1"/>
  <c r="CI143" i="1"/>
  <c r="CK73" i="1"/>
  <c r="CJ73" i="1"/>
  <c r="CI73" i="1"/>
  <c r="CK117" i="1"/>
  <c r="CJ117" i="1"/>
  <c r="CI117" i="1"/>
  <c r="CK112" i="1"/>
  <c r="CJ112" i="1"/>
  <c r="CI112" i="1"/>
  <c r="CK56" i="1"/>
  <c r="CJ56" i="1"/>
  <c r="CI56" i="1"/>
  <c r="CK32" i="1"/>
  <c r="CJ32" i="1"/>
  <c r="CI32" i="1"/>
  <c r="CK142" i="1"/>
  <c r="CJ142" i="1"/>
  <c r="CI142" i="1"/>
  <c r="CK27" i="1"/>
  <c r="CJ27" i="1"/>
  <c r="CI27" i="1"/>
  <c r="CK84" i="1"/>
  <c r="CJ84" i="1"/>
  <c r="CI84" i="1"/>
  <c r="CK57" i="1"/>
  <c r="CJ57" i="1"/>
  <c r="CI57" i="1"/>
  <c r="CK119" i="1"/>
  <c r="CJ119" i="1"/>
  <c r="CI119" i="1"/>
  <c r="CK3" i="1"/>
  <c r="CJ3" i="1"/>
  <c r="CI3" i="1"/>
  <c r="CK43" i="1"/>
  <c r="CJ43" i="1"/>
  <c r="CI43" i="1"/>
  <c r="CK121" i="1"/>
  <c r="CJ121" i="1"/>
  <c r="CI121" i="1"/>
  <c r="CK105" i="1"/>
  <c r="CJ105" i="1"/>
  <c r="CI105" i="1"/>
  <c r="CK141" i="1"/>
  <c r="CJ141" i="1"/>
  <c r="CI141" i="1"/>
  <c r="CH141" i="1"/>
  <c r="CF141" i="1"/>
  <c r="CK17" i="1"/>
  <c r="CJ17" i="1"/>
  <c r="CI17" i="1"/>
  <c r="CH17" i="1"/>
  <c r="CF17" i="1"/>
  <c r="CK33" i="1"/>
  <c r="CJ33" i="1"/>
  <c r="CI33" i="1"/>
  <c r="CH33" i="1"/>
  <c r="CF33" i="1"/>
  <c r="CK107" i="1"/>
  <c r="CJ107" i="1"/>
  <c r="CI107" i="1"/>
  <c r="CH107" i="1"/>
  <c r="CF107" i="1"/>
  <c r="CK67" i="1"/>
  <c r="CJ67" i="1"/>
  <c r="CI67" i="1"/>
  <c r="CH67" i="1"/>
  <c r="CF67" i="1"/>
  <c r="CK79" i="1"/>
  <c r="CJ79" i="1"/>
  <c r="CI79" i="1"/>
  <c r="CH79" i="1"/>
  <c r="CF79" i="1"/>
  <c r="CK11" i="1"/>
  <c r="CJ11" i="1"/>
  <c r="CI11" i="1"/>
  <c r="CH11" i="1"/>
  <c r="CF11" i="1"/>
  <c r="CK46" i="1"/>
  <c r="CJ46" i="1"/>
  <c r="CI46" i="1"/>
  <c r="CH46" i="1"/>
  <c r="CF46" i="1"/>
  <c r="CK140" i="1"/>
  <c r="CJ140" i="1"/>
  <c r="CI140" i="1"/>
  <c r="CK132" i="1"/>
  <c r="CJ132" i="1"/>
  <c r="CI132" i="1"/>
  <c r="CK139" i="1"/>
  <c r="CJ139" i="1"/>
  <c r="CI139" i="1"/>
  <c r="CK78" i="1"/>
  <c r="CJ78" i="1"/>
  <c r="CI78" i="1"/>
  <c r="CK120" i="1"/>
  <c r="CJ120" i="1"/>
  <c r="CI120" i="1"/>
  <c r="CK47" i="1"/>
  <c r="CJ47" i="1"/>
  <c r="CI47" i="1"/>
  <c r="CK25" i="1"/>
  <c r="CJ25" i="1"/>
  <c r="CI25" i="1"/>
  <c r="CK40" i="1"/>
  <c r="CJ40" i="1"/>
  <c r="CI40" i="1"/>
  <c r="CK63" i="1"/>
  <c r="CJ63" i="1"/>
  <c r="CI63" i="1"/>
  <c r="CK87" i="1"/>
  <c r="CJ87" i="1"/>
  <c r="CI87" i="1"/>
  <c r="CK59" i="1"/>
  <c r="CJ59" i="1"/>
  <c r="CI59" i="1"/>
  <c r="CK102" i="1"/>
  <c r="CJ102" i="1"/>
  <c r="CI102" i="1"/>
  <c r="CK29" i="1"/>
  <c r="CJ29" i="1"/>
  <c r="CI29" i="1"/>
  <c r="CK2" i="1"/>
  <c r="CJ2" i="1"/>
  <c r="CI2" i="1"/>
  <c r="CK111" i="1"/>
  <c r="CJ111" i="1"/>
  <c r="CI111" i="1"/>
  <c r="P111" i="1"/>
  <c r="CK98" i="1"/>
  <c r="CJ98" i="1"/>
  <c r="CI98" i="1"/>
  <c r="CK138" i="1"/>
  <c r="CJ138" i="1"/>
  <c r="CI138" i="1"/>
  <c r="CK7" i="1"/>
  <c r="CJ7" i="1"/>
  <c r="CI7" i="1"/>
  <c r="CK137" i="1"/>
  <c r="CJ137" i="1"/>
  <c r="CI137" i="1"/>
  <c r="CK110" i="1"/>
  <c r="CJ110" i="1"/>
  <c r="CI110" i="1"/>
  <c r="CK68" i="1"/>
  <c r="CJ68" i="1"/>
  <c r="CI68" i="1"/>
  <c r="CK91" i="1"/>
  <c r="CJ91" i="1"/>
  <c r="CI91" i="1"/>
  <c r="CK76" i="1"/>
  <c r="CJ76" i="1"/>
  <c r="CI76" i="1"/>
  <c r="P76" i="1"/>
  <c r="CK42" i="1"/>
  <c r="CJ42" i="1"/>
  <c r="CI42" i="1"/>
  <c r="CK55" i="1"/>
  <c r="CJ55" i="1"/>
  <c r="CI55" i="1"/>
  <c r="CK22" i="1"/>
  <c r="CJ22" i="1"/>
  <c r="CI22" i="1"/>
  <c r="CK21" i="1"/>
  <c r="CJ21" i="1"/>
  <c r="CI21" i="1"/>
  <c r="CK97" i="1"/>
  <c r="CJ97" i="1"/>
  <c r="CI97" i="1"/>
  <c r="CK99" i="1"/>
  <c r="CJ99" i="1"/>
  <c r="CI99" i="1"/>
  <c r="CK41" i="1"/>
  <c r="CJ41" i="1"/>
  <c r="CI41" i="1"/>
  <c r="CK104" i="1"/>
  <c r="CJ104" i="1"/>
  <c r="CI104" i="1"/>
  <c r="CK37" i="1"/>
  <c r="CJ37" i="1"/>
  <c r="CI37" i="1"/>
  <c r="CK122" i="1"/>
  <c r="CJ122" i="1"/>
  <c r="CI122" i="1"/>
  <c r="CK136" i="1"/>
  <c r="CJ136" i="1"/>
  <c r="CI136" i="1"/>
  <c r="CK80" i="1"/>
  <c r="CJ80" i="1"/>
  <c r="CI80" i="1"/>
  <c r="CK128" i="1"/>
  <c r="CJ128" i="1"/>
  <c r="CI128" i="1"/>
  <c r="CK52" i="1"/>
  <c r="CJ52" i="1"/>
  <c r="CI52" i="1"/>
  <c r="CK135" i="1"/>
  <c r="CJ135" i="1"/>
  <c r="CI135" i="1"/>
  <c r="CK30" i="1"/>
  <c r="CJ30" i="1"/>
  <c r="CI30" i="1"/>
  <c r="CK134" i="1"/>
  <c r="CJ134" i="1"/>
  <c r="CI134" i="1"/>
  <c r="CK77" i="1"/>
  <c r="CJ77" i="1"/>
  <c r="CI77" i="1"/>
  <c r="CK93" i="1"/>
  <c r="CJ93" i="1"/>
  <c r="CI93" i="1"/>
  <c r="CK45" i="1"/>
  <c r="CJ45" i="1"/>
  <c r="CI45" i="1"/>
  <c r="CK13" i="1"/>
  <c r="CJ13" i="1"/>
  <c r="CI13" i="1"/>
  <c r="CK125" i="1"/>
  <c r="CJ125" i="1"/>
  <c r="CI125" i="1"/>
  <c r="CK60" i="1"/>
  <c r="CJ60" i="1"/>
  <c r="CI60" i="1"/>
  <c r="CK88" i="1"/>
  <c r="CJ88" i="1"/>
  <c r="CI88" i="1"/>
  <c r="CK89" i="1"/>
  <c r="CJ89" i="1"/>
  <c r="CI89" i="1"/>
  <c r="CK58" i="1"/>
  <c r="CJ58" i="1"/>
  <c r="CI58" i="1"/>
  <c r="CK10" i="1"/>
  <c r="CJ10" i="1"/>
  <c r="CI10" i="1"/>
  <c r="CK28" i="1"/>
  <c r="CJ28" i="1"/>
  <c r="CI28" i="1"/>
  <c r="CK74" i="1"/>
  <c r="CJ74" i="1"/>
  <c r="CI74" i="1"/>
  <c r="CK90" i="1"/>
  <c r="CJ90" i="1"/>
  <c r="CI90" i="1"/>
  <c r="CK96" i="1"/>
  <c r="CJ96" i="1"/>
  <c r="CI96" i="1"/>
  <c r="CK118" i="1"/>
  <c r="CJ118" i="1"/>
  <c r="CI118" i="1"/>
  <c r="CK133" i="1"/>
  <c r="CJ133" i="1"/>
  <c r="CI133" i="1"/>
  <c r="CL20" i="1" l="1"/>
  <c r="CL43" i="1"/>
  <c r="CN56" i="1"/>
  <c r="CM76" i="1"/>
  <c r="CM137" i="1"/>
  <c r="CN152" i="1"/>
  <c r="CM105" i="1"/>
  <c r="CN119" i="1"/>
  <c r="CL142" i="1"/>
  <c r="CM117" i="1"/>
  <c r="CL49" i="1"/>
  <c r="CL120" i="1"/>
  <c r="CL46" i="1"/>
  <c r="CM53" i="1"/>
  <c r="CL90" i="1"/>
  <c r="CN125" i="1"/>
  <c r="CN78" i="1"/>
  <c r="CM84" i="1"/>
  <c r="CL144" i="1"/>
  <c r="CN28" i="1"/>
  <c r="CN30" i="1"/>
  <c r="CN21" i="1"/>
  <c r="CM23" i="1"/>
  <c r="CM139" i="1"/>
  <c r="CN2" i="1"/>
  <c r="CN108" i="1"/>
  <c r="CL77" i="1"/>
  <c r="CN122" i="1"/>
  <c r="CL138" i="1"/>
  <c r="CM29" i="1"/>
  <c r="CL131" i="1"/>
  <c r="CN68" i="1"/>
  <c r="CM55" i="1"/>
  <c r="CL88" i="1"/>
  <c r="CN138" i="1"/>
  <c r="CL67" i="1"/>
  <c r="CM19" i="1"/>
  <c r="CN126" i="1"/>
  <c r="CM45" i="1"/>
  <c r="CL80" i="1"/>
  <c r="CN17" i="1"/>
  <c r="CN19" i="1"/>
  <c r="CL123" i="1"/>
  <c r="CL38" i="1"/>
  <c r="CL140" i="1"/>
  <c r="CM12" i="1"/>
  <c r="CM9" i="1"/>
  <c r="CM146" i="1"/>
  <c r="CM39" i="1"/>
  <c r="CM147" i="1"/>
  <c r="CM106" i="1"/>
  <c r="CM48" i="1"/>
  <c r="CM34" i="1"/>
  <c r="CM104" i="1"/>
  <c r="CL4" i="1"/>
  <c r="CM26" i="1"/>
  <c r="CN100" i="1"/>
  <c r="CM114" i="1"/>
  <c r="CN85" i="1"/>
  <c r="CN91" i="1"/>
  <c r="CN137" i="1"/>
  <c r="CN25" i="1"/>
  <c r="CM79" i="1"/>
  <c r="CM100" i="1"/>
  <c r="CL24" i="1"/>
  <c r="CM52" i="1"/>
  <c r="CL99" i="1"/>
  <c r="CM59" i="1"/>
  <c r="CL143" i="1"/>
  <c r="CN5" i="1"/>
  <c r="CM68" i="1"/>
  <c r="CM33" i="1"/>
  <c r="CL148" i="1"/>
  <c r="CL68" i="1"/>
  <c r="CN7" i="1"/>
  <c r="CN102" i="1"/>
  <c r="CM63" i="1"/>
  <c r="CN120" i="1"/>
  <c r="CN33" i="1"/>
  <c r="CN141" i="1"/>
  <c r="CN57" i="1"/>
  <c r="CN112" i="1"/>
  <c r="CN71" i="1"/>
  <c r="CL19" i="1"/>
  <c r="CN72" i="1"/>
  <c r="CN116" i="1"/>
  <c r="CL7" i="1"/>
  <c r="CN111" i="1"/>
  <c r="CN40" i="1"/>
  <c r="CN140" i="1"/>
  <c r="CN67" i="1"/>
  <c r="CM123" i="1"/>
  <c r="CN144" i="1"/>
  <c r="CN82" i="1"/>
  <c r="CN94" i="1"/>
  <c r="CN64" i="1"/>
  <c r="CN70" i="1"/>
  <c r="CN50" i="1"/>
  <c r="CL114" i="1"/>
  <c r="CM90" i="1"/>
  <c r="CL118" i="1"/>
  <c r="CN90" i="1"/>
  <c r="CL58" i="1"/>
  <c r="CN88" i="1"/>
  <c r="CL45" i="1"/>
  <c r="CN77" i="1"/>
  <c r="CL52" i="1"/>
  <c r="CN80" i="1"/>
  <c r="CL104" i="1"/>
  <c r="CN99" i="1"/>
  <c r="CL55" i="1"/>
  <c r="CL76" i="1"/>
  <c r="CN110" i="1"/>
  <c r="CM111" i="1"/>
  <c r="CN59" i="1"/>
  <c r="CM120" i="1"/>
  <c r="CL33" i="1"/>
  <c r="CL105" i="1"/>
  <c r="CN43" i="1"/>
  <c r="CL84" i="1"/>
  <c r="CN142" i="1"/>
  <c r="CL117" i="1"/>
  <c r="CN143" i="1"/>
  <c r="CL53" i="1"/>
  <c r="CL100" i="1"/>
  <c r="CN4" i="1"/>
  <c r="CM36" i="1"/>
  <c r="CM95" i="1"/>
  <c r="CM82" i="1"/>
  <c r="CM86" i="1"/>
  <c r="CM81" i="1"/>
  <c r="CM94" i="1"/>
  <c r="CM64" i="1"/>
  <c r="CM70" i="1"/>
  <c r="CM50" i="1"/>
  <c r="CL116" i="1"/>
  <c r="CN38" i="1"/>
  <c r="CN151" i="1"/>
  <c r="CM80" i="1"/>
  <c r="CM99" i="1"/>
  <c r="CN3" i="1"/>
  <c r="CN32" i="1"/>
  <c r="CN115" i="1"/>
  <c r="CM35" i="1"/>
  <c r="CN103" i="1"/>
  <c r="CN124" i="1"/>
  <c r="CN6" i="1"/>
  <c r="CN18" i="1"/>
  <c r="CN14" i="1"/>
  <c r="CN16" i="1"/>
  <c r="CN65" i="1"/>
  <c r="CN61" i="1"/>
  <c r="CM126" i="1"/>
  <c r="CN31" i="1"/>
  <c r="CN54" i="1"/>
  <c r="CN76" i="1"/>
  <c r="CL59" i="1"/>
  <c r="CM140" i="1"/>
  <c r="CN123" i="1"/>
  <c r="CM24" i="1"/>
  <c r="CN51" i="1"/>
  <c r="CM54" i="1"/>
  <c r="CM142" i="1"/>
  <c r="CN118" i="1"/>
  <c r="CL125" i="1"/>
  <c r="CN45" i="1"/>
  <c r="CL122" i="1"/>
  <c r="CN104" i="1"/>
  <c r="CN55" i="1"/>
  <c r="CM138" i="1"/>
  <c r="CN87" i="1"/>
  <c r="CL25" i="1"/>
  <c r="CN79" i="1"/>
  <c r="CN105" i="1"/>
  <c r="CL56" i="1"/>
  <c r="CN117" i="1"/>
  <c r="CN12" i="1"/>
  <c r="CN9" i="1"/>
  <c r="CN39" i="1"/>
  <c r="CN147" i="1"/>
  <c r="CN106" i="1"/>
  <c r="CN48" i="1"/>
  <c r="CN34" i="1"/>
  <c r="CL31" i="1"/>
  <c r="CL54" i="1"/>
  <c r="CM118" i="1"/>
  <c r="CL28" i="1"/>
  <c r="CN58" i="1"/>
  <c r="CL30" i="1"/>
  <c r="CN52" i="1"/>
  <c r="CL21" i="1"/>
  <c r="CN29" i="1"/>
  <c r="CN139" i="1"/>
  <c r="CN107" i="1"/>
  <c r="CL119" i="1"/>
  <c r="CN84" i="1"/>
  <c r="CL108" i="1"/>
  <c r="CN53" i="1"/>
  <c r="CL5" i="1"/>
  <c r="CL35" i="1"/>
  <c r="CN146" i="1"/>
  <c r="CM25" i="1"/>
  <c r="CN46" i="1"/>
  <c r="CN121" i="1"/>
  <c r="CN27" i="1"/>
  <c r="CN73" i="1"/>
  <c r="CN62" i="1"/>
  <c r="CN131" i="1"/>
  <c r="CN35" i="1"/>
  <c r="CM101" i="1"/>
  <c r="CL23" i="1"/>
  <c r="CN20" i="1"/>
  <c r="CN49" i="1"/>
  <c r="CN153" i="1"/>
  <c r="CM88" i="1"/>
  <c r="CM77" i="1"/>
  <c r="CM43" i="1"/>
  <c r="CM143" i="1"/>
  <c r="CM58" i="1"/>
  <c r="CL137" i="1"/>
  <c r="CN98" i="1"/>
  <c r="CN47" i="1"/>
  <c r="CL17" i="1"/>
  <c r="CL26" i="1"/>
  <c r="CN145" i="1"/>
  <c r="CM148" i="1"/>
  <c r="CN149" i="1"/>
  <c r="CM28" i="1"/>
  <c r="CM125" i="1"/>
  <c r="CM30" i="1"/>
  <c r="CM122" i="1"/>
  <c r="CM21" i="1"/>
  <c r="CL98" i="1"/>
  <c r="CL29" i="1"/>
  <c r="CN63" i="1"/>
  <c r="CN132" i="1"/>
  <c r="CL79" i="1"/>
  <c r="CM119" i="1"/>
  <c r="CM56" i="1"/>
  <c r="CM108" i="1"/>
  <c r="CN26" i="1"/>
  <c r="CL145" i="1"/>
  <c r="CN83" i="1"/>
  <c r="CN69" i="1"/>
  <c r="CN109" i="1"/>
  <c r="CN113" i="1"/>
  <c r="CN127" i="1"/>
  <c r="CN75" i="1"/>
  <c r="CN130" i="1"/>
  <c r="CN8" i="1"/>
  <c r="CN101" i="1"/>
  <c r="CN129" i="1"/>
  <c r="CL111" i="1"/>
  <c r="CN150" i="1"/>
  <c r="CM150" i="1"/>
  <c r="CL150" i="1"/>
  <c r="CN133" i="1"/>
  <c r="CM133" i="1"/>
  <c r="CL133" i="1"/>
  <c r="CN74" i="1"/>
  <c r="CM74" i="1"/>
  <c r="CL74" i="1"/>
  <c r="CN36" i="1"/>
  <c r="CN95" i="1"/>
  <c r="CN86" i="1"/>
  <c r="CN81" i="1"/>
  <c r="CN66" i="1"/>
  <c r="CM66" i="1"/>
  <c r="CL66" i="1"/>
  <c r="CL63" i="1"/>
  <c r="CN11" i="1"/>
  <c r="CM11" i="1"/>
  <c r="CL11" i="1"/>
  <c r="CL15" i="1"/>
  <c r="CN15" i="1"/>
  <c r="CM15" i="1"/>
  <c r="CN135" i="1"/>
  <c r="CM135" i="1"/>
  <c r="CL135" i="1"/>
  <c r="CN37" i="1"/>
  <c r="CM37" i="1"/>
  <c r="CL37" i="1"/>
  <c r="CN22" i="1"/>
  <c r="CM22" i="1"/>
  <c r="CL22" i="1"/>
  <c r="CM85" i="1"/>
  <c r="CN13" i="1"/>
  <c r="CM13" i="1"/>
  <c r="CL13" i="1"/>
  <c r="CN97" i="1"/>
  <c r="CM97" i="1"/>
  <c r="CL97" i="1"/>
  <c r="CL139" i="1"/>
  <c r="CN60" i="1"/>
  <c r="CM60" i="1"/>
  <c r="CL60" i="1"/>
  <c r="CN92" i="1"/>
  <c r="CM92" i="1"/>
  <c r="CL92" i="1"/>
  <c r="CN134" i="1"/>
  <c r="CM134" i="1"/>
  <c r="CL134" i="1"/>
  <c r="CN44" i="1"/>
  <c r="CL44" i="1"/>
  <c r="CM44" i="1"/>
  <c r="CN10" i="1"/>
  <c r="CM10" i="1"/>
  <c r="CL10" i="1"/>
  <c r="CN136" i="1"/>
  <c r="CM136" i="1"/>
  <c r="CL136" i="1"/>
  <c r="CN96" i="1"/>
  <c r="CM96" i="1"/>
  <c r="CL96" i="1"/>
  <c r="CN89" i="1"/>
  <c r="CM89" i="1"/>
  <c r="CL89" i="1"/>
  <c r="CN93" i="1"/>
  <c r="CM93" i="1"/>
  <c r="CL93" i="1"/>
  <c r="CN128" i="1"/>
  <c r="CM128" i="1"/>
  <c r="CL128" i="1"/>
  <c r="CN41" i="1"/>
  <c r="CM41" i="1"/>
  <c r="CL41" i="1"/>
  <c r="CN42" i="1"/>
  <c r="CM42" i="1"/>
  <c r="CL42" i="1"/>
  <c r="CL36" i="1"/>
  <c r="CL12" i="1"/>
  <c r="CL95" i="1"/>
  <c r="CL9" i="1"/>
  <c r="CL82" i="1"/>
  <c r="CL146" i="1"/>
  <c r="CL86" i="1"/>
  <c r="CL39" i="1"/>
  <c r="CL81" i="1"/>
  <c r="CL147" i="1"/>
  <c r="CL94" i="1"/>
  <c r="CL106" i="1"/>
  <c r="CL64" i="1"/>
  <c r="CL48" i="1"/>
  <c r="CL70" i="1"/>
  <c r="CL34" i="1"/>
  <c r="CL50" i="1"/>
  <c r="CN24" i="1"/>
  <c r="CN148" i="1"/>
  <c r="CN114" i="1"/>
  <c r="CN23" i="1"/>
  <c r="CM31" i="1"/>
  <c r="CM116" i="1"/>
  <c r="CM49" i="1"/>
  <c r="CL85" i="1"/>
  <c r="CL152" i="1"/>
  <c r="CM152" i="1"/>
  <c r="CL107" i="1"/>
  <c r="CL141" i="1"/>
  <c r="CL121" i="1"/>
  <c r="CL3" i="1"/>
  <c r="CL57" i="1"/>
  <c r="CL27" i="1"/>
  <c r="CL32" i="1"/>
  <c r="CL112" i="1"/>
  <c r="CL73" i="1"/>
  <c r="CL115" i="1"/>
  <c r="CL71" i="1"/>
  <c r="CL62" i="1"/>
  <c r="CL129" i="1"/>
  <c r="CL51" i="1"/>
  <c r="CL72" i="1"/>
  <c r="CL91" i="1"/>
  <c r="CL110" i="1"/>
  <c r="CM107" i="1"/>
  <c r="CM141" i="1"/>
  <c r="CM3" i="1"/>
  <c r="CM27" i="1"/>
  <c r="CM112" i="1"/>
  <c r="CM115" i="1"/>
  <c r="CM62" i="1"/>
  <c r="CM129" i="1"/>
  <c r="CM51" i="1"/>
  <c r="CM121" i="1"/>
  <c r="CM57" i="1"/>
  <c r="CM32" i="1"/>
  <c r="CM73" i="1"/>
  <c r="CM71" i="1"/>
  <c r="CM72" i="1"/>
  <c r="CM91" i="1"/>
  <c r="CM110" i="1"/>
  <c r="CM7" i="1"/>
  <c r="CM98" i="1"/>
  <c r="CL2" i="1"/>
  <c r="CL102" i="1"/>
  <c r="CL87" i="1"/>
  <c r="CL40" i="1"/>
  <c r="CL47" i="1"/>
  <c r="CL78" i="1"/>
  <c r="CL132" i="1"/>
  <c r="CM5" i="1"/>
  <c r="CM4" i="1"/>
  <c r="CM131" i="1"/>
  <c r="CM144" i="1"/>
  <c r="CM145" i="1"/>
  <c r="CL103" i="1"/>
  <c r="CL83" i="1"/>
  <c r="CL124" i="1"/>
  <c r="CL69" i="1"/>
  <c r="CL6" i="1"/>
  <c r="CL109" i="1"/>
  <c r="CL18" i="1"/>
  <c r="CL113" i="1"/>
  <c r="CL14" i="1"/>
  <c r="CL127" i="1"/>
  <c r="CL16" i="1"/>
  <c r="CL75" i="1"/>
  <c r="CL65" i="1"/>
  <c r="CL130" i="1"/>
  <c r="CL61" i="1"/>
  <c r="CL8" i="1"/>
  <c r="CL126" i="1"/>
  <c r="CL101" i="1"/>
  <c r="CM20" i="1"/>
  <c r="CM2" i="1"/>
  <c r="CM102" i="1"/>
  <c r="CM87" i="1"/>
  <c r="CM40" i="1"/>
  <c r="CM47" i="1"/>
  <c r="CM78" i="1"/>
  <c r="CM132" i="1"/>
  <c r="CM103" i="1"/>
  <c r="CM83" i="1"/>
  <c r="CM124" i="1"/>
  <c r="CM69" i="1"/>
  <c r="CM6" i="1"/>
  <c r="CM109" i="1"/>
  <c r="CM18" i="1"/>
  <c r="CM113" i="1"/>
  <c r="CM14" i="1"/>
  <c r="CM127" i="1"/>
  <c r="CM16" i="1"/>
  <c r="CM75" i="1"/>
  <c r="CM65" i="1"/>
  <c r="CM130" i="1"/>
  <c r="CM61" i="1"/>
  <c r="CM8" i="1"/>
  <c r="CM38" i="1"/>
  <c r="CL149" i="1"/>
  <c r="CL151" i="1"/>
  <c r="CL153" i="1"/>
  <c r="CM67" i="1"/>
  <c r="CM149" i="1"/>
  <c r="CM151" i="1"/>
  <c r="CM153" i="1"/>
  <c r="CM46" i="1"/>
  <c r="CM17" i="1"/>
</calcChain>
</file>

<file path=xl/sharedStrings.xml><?xml version="1.0" encoding="utf-8"?>
<sst xmlns="http://schemas.openxmlformats.org/spreadsheetml/2006/main" count="5447" uniqueCount="1023">
  <si>
    <t>Fecha de inicio</t>
  </si>
  <si>
    <t>Fecha final</t>
  </si>
  <si>
    <t>Tipo de respuesta</t>
  </si>
  <si>
    <t>Dirección IP</t>
  </si>
  <si>
    <t>Duración (en segundos)</t>
  </si>
  <si>
    <t>Finalizado</t>
  </si>
  <si>
    <t>Fecha registrada</t>
  </si>
  <si>
    <t>ID de respuesta</t>
  </si>
  <si>
    <t>Idioma del usuario</t>
  </si>
  <si>
    <t>País</t>
  </si>
  <si>
    <t>Año de constitución de la Universidad</t>
  </si>
  <si>
    <t>Nº de empleados promedio en el año 2024 (profesorado, staff, etc.)</t>
  </si>
  <si>
    <t>Nº de estudiantes matriculados (equivalentes a tiempo completo) en el último curso académico perteneciente a titulaciones presenciales</t>
  </si>
  <si>
    <t>Nº de estudiantes matriculados (equivalentes a tiempo completo) en el último curso académico perteneciente a titulaciones virtuales</t>
  </si>
  <si>
    <t>Nº de estudiantes matriculados (equivalentes a tiempo completo) en el último curso académico perteneciente a titulaciones híbridas</t>
  </si>
  <si>
    <t>Titularidad de la Universidad</t>
  </si>
  <si>
    <t>Porcentaje de estudiantes matriculados procedentes de otros países</t>
  </si>
  <si>
    <t>Carácter de la Universidad</t>
  </si>
  <si>
    <t>Nº aproximado de Edificios con los que cuenta la Universidad</t>
  </si>
  <si>
    <t>Indicadores Básicos - Consumo total de energía por año en kWh/año - Valor</t>
  </si>
  <si>
    <t>Indicadores Básicos - Huella de carbono institucional (Alcance 1+2) en tCO2e/año - Valor</t>
  </si>
  <si>
    <t>Indicadores Básicos - Porcentaje de residuos sólidos reciclados o valorizados respecto al total - Valor</t>
  </si>
  <si>
    <t>Indicadores Básicos - Consumo total de agua por año en m3/año - Valor</t>
  </si>
  <si>
    <t>Indicadores Básicos - Proporción de áreas verdes por superficie construida en m2 verde / m2 construido - Valor</t>
  </si>
  <si>
    <t>Indicadores Básicos - Presupuesto ambiental institucional por año en USD/año - Valor</t>
  </si>
  <si>
    <t>Indique si su Universidad dispone de las siguientes actividades que se integran en la dimensión gestión y gobierno socialmente responsable, valorando si no dispone de dicha acción o si dispone de dicha acción. - ¿La Universidad convoca a actores o partes interesadas externas para la definición de sus líneas y estrategias de investigación?</t>
  </si>
  <si>
    <t>Indique si su Universidad dispone de las siguientes actividades que se integran en la dimensión gestión y gobierno socialmente responsable, valorando si no dispone de dicha acción o si dispone de dicha acción. - ¿Existe un compromiso explícito con la sostenibilidad y/o la responsabilidad social en la misión y la visión de la Universidad?</t>
  </si>
  <si>
    <t>Indique si su Universidad dispone de las siguientes actividades que se integran en la dimensión gestión y gobierno socialmente responsable, valorando si no dispone de dicha acción o si dispone de dicha acción. - ¿La universidad dispone de un tablero de comando (o similar) con la información centralizada de los indicadores ambientales y sociales, fácilmente accesible, que permita evaluar la transparencia, la eficiencia o la capacidad de toma de decisiones basada en datos?</t>
  </si>
  <si>
    <t>Indique si su Universidad dispone de las siguientes actividades que se integran en la dimensión gestión y gobierno socialmente responsable, valorando si no dispone de dicha acción o si dispone de dicha acción. - ¿Existe un documento accesible en el que se establece el compromiso ético de la Universidad con la comunidad universitaria y la sociedad en general?</t>
  </si>
  <si>
    <t>Indique si su Universidad dispone de las siguientes actividades que se integran en la dimensión gestión y gobierno socialmente responsable, valorando si no dispone de dicha acción o si dispone de dicha acción. - ¿La Universidad cuenta con un Plan Institucional de Desarrollo o Plan Estratégico alineado con la sostenibilidad, los ODS y los criterios ASG?</t>
  </si>
  <si>
    <t>Indique si su Universidad dispone de las siguientes actividades que se integran en la dimensión gestión y gobierno socialmente responsable, valorando si no dispone de dicha acción o si dispone de dicha acción. - ¿La Universidad cuenta con mecanismos para la detección del fraude, conflictos de intereses y que permitan garantizar la transparencia?</t>
  </si>
  <si>
    <t>Indique si su Universidad dispone de las siguientes actividades que se integran en la dimensión gestión y gobierno socialmente responsable, valorando si no dispone de dicha acción o si dispone de dicha acción. - ¿La Universidad cuenta con un Área o Responsable que asegura el cumplimiento de metas y compromisos con la sostenibilidad y/o la responsabilidad social?</t>
  </si>
  <si>
    <t>Indique si su Universidad dispone de las siguientes actividades que se integran en la dimensión gestión y gobierno socialmente responsable, valorando si no dispone de dicha acción o si dispone de dicha acción. - ¿La Universidad cuenta con un Código de Buen Gobierno o con un compromiso explícito con los principios de Gobierno Abierto?</t>
  </si>
  <si>
    <t>Indique si su Universidad dispone de las siguientes actividades que se integran en la dimensión gestión y gobierno socialmente responsable, valorando si no dispone de dicha acción o si dispone de dicha acción. - ¿La Universidad cuenta con políticas, lineamientos, programas, procedimientos o criterios de sostenibilidad o responsabilidad social alineados con la Agenda 2030?</t>
  </si>
  <si>
    <t>Indique si su Universidad dispone de las siguientes actividades que se integran en la dimensión gestión y gobierno socialmente responsable, valorando si no dispone de dicha acción o si dispone de dicha acción. - ¿La Universidad cuenta con un Comité de Auditoría Interno?</t>
  </si>
  <si>
    <t>Indique si su Universidad dispone de las siguientes actividades que se integran en la dimensión gestión y gobierno socialmente responsable, valorando si no dispone de dicha acción o si dispone de dicha acción. - ¿La Universidad cuenta con mecanismos y/o iniciativas de evaluación de riesgos de impactos sociales, económicos y medioambientales?</t>
  </si>
  <si>
    <t>Indique si su Universidad dispone de las siguientes actividades que se integran en la dimensión gestión y gobierno socialmente responsable, valorando si no dispone de dicha acción o si dispone de dicha acción. - ¿La Universidad cuenta con órganos, mecanismos o políticas que promuevan la igualdad en todos los niveles de la institución?</t>
  </si>
  <si>
    <t>Indique si su Universidad dispone de las siguientes actividades que se integran en la dimensión gestión y gobierno socialmente responsable, valorando si no dispone de dicha acción o si dispone de dicha acción. - ¿La Universidad cuenta con órganos, mecanismos o políticas que promuevan la inclusión y/o diversidad en todos los niveles de la institución?</t>
  </si>
  <si>
    <t>Indique si su Universidad dispone de las siguientes actividades que se integran en la dimensión gestión y gobierno socialmente responsable, valorando si no dispone de dicha acción o si dispone de dicha acción. - ¿La Universidad incorpora aspectos y/o criterios sociales, ambientales o de sostenibilidad en los procesos de contratación o compras de bienes, obras y servicios, así como en la homologación de proveedores?</t>
  </si>
  <si>
    <t>Indique si su Universidad dispone de las siguientes actividades que se integran en la dimensión gestión y gobierno socialmente responsable, valorando si no dispone de dicha acción o si dispone de dicha acción. - ¿La Universidad fomenta la incorporación de la responsabilidad social y/o la sostenibilidad en contenidos y competencias de sus titulaciones de forma transversal?</t>
  </si>
  <si>
    <t>Indique si su Universidad dispone de las siguientes actividades que se integran en la dimensión gestión y gobierno socialmente responsable, valorando si no dispone de dicha acción o si dispone de dicha acción. - ¿La Universidad cuenta con mecanismos para desarrollar un diálogo permanente con diferentes grupos de interés, tanto internos como externos?</t>
  </si>
  <si>
    <t>Indique si su Universidad dispone de las siguientes actividades que se integran en la dimensión gestión y gobierno socialmente responsable, valorando si no dispone de dicha acción o si dispone de dicha acción. - ¿La Universidad está incluida en algún ranking relacionado con la sostenibilidad, tales como Impact Ranking de Times Higher Education o UI Green Metric World University Ranking?</t>
  </si>
  <si>
    <t>Indique si su Universidad dispone de las siguientes actividades que se integran en la dimensión gestión y gobierno socialmente responsable, valorando si no dispone de dicha acción o si dispone de dicha acción. - ¿La Universidad está adherida al UN Global Compact?</t>
  </si>
  <si>
    <t>Indique si su Universidad dispone de las siguientes actividades que se integran en la dimensión gestión y gobierno socialmente responsable, valorando si no dispone de dicha acción o si dispone de dicha acción. - ¿La Universidad publica datos concretos sobre su desempeño en relación con los ODS, de forma específica por cada ODS o de forma general (ejemplo: Memoria de Responsabilidad Social, Informe de Progreso Social, Informe de Sostenibilidad, EINF, Integración en Memoria Académica)?</t>
  </si>
  <si>
    <t>Indique si su Universidad dispone de las siguientes actividades que se integran en la dimensión gestión y gobierno socialmente responsable, valorando si no dispone de dicha acción o si dispone de dicha acción. - ¿La Universidad cuenta con un Comité, Comisión o Consejo, integrado por representantes de los diferentes claustros y de las diferentes Unidades Académicas, que contribuya al seguimiento del Plan o de las Políticas de Sostenibilidad de la Universidad?</t>
  </si>
  <si>
    <t>Indique si su Universidad dispone de las siguientes actividades que se integran en la dimensión gestión y gobierno socialmente responsable, valorando si no dispone de dicha acción o si dispone de dicha acción. - ¿La Universidad divulga su organigrama institucional y la constitución de sus Órganos de Gobierno?</t>
  </si>
  <si>
    <t>Indique si su Universidad dispone de las siguientes actividades que se integran en la dimensión gestión y gobierno socialmente responsable, valorando si no dispone de dicha acción o si dispone de dicha acción. - ¿La Universidad dispone de un Portal de Transparencia que publique información sobre programas académicos, calidad en la docencia, evaluación del profesorado, estados financieros anuales, presupuesto anual, informe de inversiones, etc.?</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</si>
  <si>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programas o proyectos que promuevan el uso de energías renovables naturales?</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</si>
  <si>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orientadas al uso racional y eficiente de la energía?</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</si>
  <si>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de reducción de gases de efecto invernadero?</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</si>
  <si>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de uso racional y sostenible del agua?</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</si>
  <si>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para promover el uso de materiales reutilizables y la eliminación de materiales descartables o de un solo uso?</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</si>
  <si>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para promover una gestión integral de los residuos generados en sus actividades?</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</si>
  <si>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planes, proyectos y acciones de protección de la biodiversidad local?</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</si>
  <si>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fomenta la sensibilización de la comunidad universitaria en cuanto a la responsabilidad medioambiental en los hábitos personales o las buenas prácticas?</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</si>
  <si>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cuenta con acciones particulares para fomentar la reducción en la generación de residuos de alimentos en bares, cantinas, comedores y/o cafeterías?</t>
  </si>
  <si>
    <t>Indique el grado de desarrollo, en su Universidad, de las siguientes actividades relacionadas con la sostenibilidad que se integran en la dimensión medioambiental, valorando con una escala de 1 a 5, donde:
	se refiere a que no se fomenta dicha acción,
	se refiere a que se fomenta con acciones aisladas
	se refiere a que existe un plan específico integrado o en un plan más amplio con un conjunto de acciones en ejecución
	se refiere a que el plan se ha evaluado, al menos internamente
	se refiere a que el plan se ha evaluado y redefinido en función de los resultados - ¿La Universidad fomenta la movilidad sostenible?</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</si>
  <si>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programas de apoyo para estudiantes de escasos recursos (como becas de estudio, becas de alimentación, becas de transporte, entre otras)?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</si>
  <si>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políticas y programas relacionados con temas de cooperación nacional e internacional, Responsabilidad Social Universitaria, y desarrollo social y comunitario a nivel local, regional o nacional?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</si>
  <si>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políticas de investigación y convenios con actores clave del desarrollo social teniendo en cuenta las demandas sociales de la comunidad?</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</si>
  <si>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políticas de evaluación y sistematización constante para transferir el conocimiento, difundir los aprendizajes y medir el impacto social de sus actividades en el medio?</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</si>
  <si>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políticas internas de promoción y evaluación de la Responsabilidad Social Universitaria definidas para todos los niveles institucionales?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</si>
  <si>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programas o acciones para promover el cuidado de la salud alimentaria, salud física y salud mental de su comunidad?</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</si>
  <si>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promueve la investigación sobre el desarrollo sostenible y/o la responsabilidad social?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</si>
  <si>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promueve el desarrollo de emprendimientos, la innovación y el fortalecimiento del sector socio-productivo local?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</si>
  <si>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promueve la capacitación continua del personal técnico, administrativo y de servicios y del profesorado sobre el desarrollo sostenible y/o la responsabilidad social?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</si>
  <si>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promueve el voluntariado social y ambiental?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</si>
  <si>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fomenta la mejora de la accesibilidad universal, incluida la digital o dispone de planes o acciones para asegurar la accesibilidad de los entornos y servicios?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</si>
  <si>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herramientas o mecanismos que faciliten conciliar la vida laboral con la familiar o personal?</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</si>
  <si>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políticas, programas o acciones que faciliten e incentiven el desarrollo profesional de sus empleados?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</si>
  <si>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mecanismos o estructuras organizativas que permitan evitar situaciones de abusos de poder o accionar en caso de que ocurran? (ejemplo: Inspección General de Servicios, Defensoría Universitaria o Departamento de Sumarios, entre otros).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</si>
  <si>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políticas de contratación y remuneración transparentes de profesores y administrativos con base en requisitos preestablecidos y no discriminatorios por género, religión o raza?</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</si>
  <si>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cuenta con políticas para la evaluación de la actividad docente y la prestación de servicios del personal administrativo, así como de las titulaciones?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</si>
  <si>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políticas de respeto por los derechos humanos?</t>
  </si>
  <si>
    <t>Indique el grado de desarrollo, en su Universidad, de las siguientes actividades relacionadas con la sostenibilidad que se integran en la dimensión social, valorando con una escala de 1 a 5, donde:
1 se refiere a que no se fomenta dicha acción
2 se refiere a que se fomenta con acciones aisladas
3 se refiere a que existe un plan específico integrado o en un plan más amplio con un conjunto de acciones en ejecución
4 se refiere a que el plan se ha evaluado, al menos internamente
5 se refiere a que el plan se ha evaluado y redefinido en función de los resultados - ¿La Universidad desarrolla programas de prácticas pre-profesionales y de inserción de los egresados al ámbito laboral?</t>
  </si>
  <si>
    <t>Si tiene algún comentario o sugerencia sobre la encuesta, por favor indíquelo a continuación</t>
  </si>
  <si>
    <t>Gobernanza</t>
  </si>
  <si>
    <t>Ambiental</t>
  </si>
  <si>
    <t>Social</t>
  </si>
  <si>
    <t>dimensionGobernanza</t>
  </si>
  <si>
    <t>dimensionAmbiental</t>
  </si>
  <si>
    <t>dimensionSocial</t>
  </si>
  <si>
    <t>Sello Compromiso</t>
  </si>
  <si>
    <t>Sello Liderazgo</t>
  </si>
  <si>
    <t>Sello Transformación</t>
  </si>
  <si>
    <t>Sello final</t>
  </si>
  <si>
    <t>Sello</t>
  </si>
  <si>
    <t>Universidade Comunitária da Região de Chapecó (Unochapecó)</t>
  </si>
  <si>
    <t>Ademar Tibola</t>
  </si>
  <si>
    <t>gerenciacampus@unochapeco.edu.br</t>
  </si>
  <si>
    <t>Brasil</t>
  </si>
  <si>
    <t>Privada</t>
  </si>
  <si>
    <t>Generalista</t>
  </si>
  <si>
    <t>Dispone</t>
  </si>
  <si>
    <t>No dispone</t>
  </si>
  <si>
    <t>Compromiso</t>
  </si>
  <si>
    <t>IP Address</t>
  </si>
  <si>
    <t>R_8ipGYiSFozKv3ep</t>
  </si>
  <si>
    <t>ES-ES</t>
  </si>
  <si>
    <t>UNIVERSIDAD CATÓLICA DE ORIENTE</t>
  </si>
  <si>
    <t>extension.dir@uco.edu.co</t>
  </si>
  <si>
    <t>312 8251524</t>
  </si>
  <si>
    <t>Colombia</t>
  </si>
  <si>
    <t>Liderazgo</t>
  </si>
  <si>
    <t>212.128.179.141</t>
  </si>
  <si>
    <t>True</t>
  </si>
  <si>
    <t>R_8d0qlxNkI8STAZc</t>
  </si>
  <si>
    <t/>
  </si>
  <si>
    <t>Universidad de La Sabana</t>
  </si>
  <si>
    <t>Alejandra Moreno</t>
  </si>
  <si>
    <t>sfairha.moreno@unisabana.edu.co</t>
  </si>
  <si>
    <t>187.183.59.230</t>
  </si>
  <si>
    <t>R_7SxpuaIC5G2HClr</t>
  </si>
  <si>
    <t>PT-BR</t>
  </si>
  <si>
    <t>Escuela Superior Politécnica del Litoral (ESPOL)</t>
  </si>
  <si>
    <t>Alfonsina Punín</t>
  </si>
  <si>
    <t>apunin@espol.edu.ec</t>
  </si>
  <si>
    <t>Ecuador</t>
  </si>
  <si>
    <t>Pública</t>
  </si>
  <si>
    <t>143.105.99.222</t>
  </si>
  <si>
    <t>R_539nY7KD0ijLZxo</t>
  </si>
  <si>
    <t>Universidad de Santiago de Chile</t>
  </si>
  <si>
    <t>Angélica Soto Ibarra</t>
  </si>
  <si>
    <t>angelica.soto@usach.cl</t>
  </si>
  <si>
    <t>Chile</t>
  </si>
  <si>
    <t>Para la proxima se recomiuenda tener la opción de volver atrás y de guardar los datos</t>
  </si>
  <si>
    <t>200.19.255.70</t>
  </si>
  <si>
    <t>R_7MSU7GpGAmcfY1q</t>
  </si>
  <si>
    <t>UNIVERSIDAD TECNOLÓGICA ATLÁNTICO MEDITERRÁNEO UTAMED</t>
  </si>
  <si>
    <t>antonio.ruiz@utamed.es</t>
  </si>
  <si>
    <t>España</t>
  </si>
  <si>
    <t>UTAMED HA COMENZADO SU ACTIVIDAD DOCENTE EN EL ACTUAL CURSO 25/26, POR LO QUE ESTAMOS COMENZANDO A IMPLEMENTAR TODAS NUESTRAS POLÍTICAS Y LÍNEAS DE ACTUACIÓN, INCLUYENDO AQUELLAS RELATIVAS A LA SOSTENIBILIDAD Y LOS ODS.</t>
  </si>
  <si>
    <t>Transformación</t>
  </si>
  <si>
    <t>189.44.21.203</t>
  </si>
  <si>
    <t>R_5pzjQRBr7HpNwGI</t>
  </si>
  <si>
    <t>Centro Universitário de João Pessoa - UNIPÊ</t>
  </si>
  <si>
    <t>eirc@unipe.edu.br</t>
  </si>
  <si>
    <t>Pró-Reitoria Acadêmica</t>
  </si>
  <si>
    <t>558321069258</t>
  </si>
  <si>
    <t>R_31axc2AnogcMXU8</t>
  </si>
  <si>
    <t>UNIVERSIDAD JUÁREZ DEL ESTADO DE DURANGO (UJED)</t>
  </si>
  <si>
    <t>C.O.M.F. Gamaliel Ortiz Sarabia</t>
  </si>
  <si>
    <t>subsecretaria.academica@ujed.mx</t>
  </si>
  <si>
    <t>Subsecretaría General Académica</t>
  </si>
  <si>
    <t>México</t>
  </si>
  <si>
    <t>clarificar los indicadores relacionados con los estudiantes matriculados</t>
  </si>
  <si>
    <t>Sin posibilidad de sello</t>
  </si>
  <si>
    <t>200.49.237.226</t>
  </si>
  <si>
    <t>R_1FCKtYkdn0s8XER</t>
  </si>
  <si>
    <t>Universidad Internacional de Andalucía</t>
  </si>
  <si>
    <t>Carmen Pozo Muñoz</t>
  </si>
  <si>
    <t>c.pozo@unia.es</t>
  </si>
  <si>
    <t>34+690286894</t>
  </si>
  <si>
    <t>Especializada</t>
  </si>
  <si>
    <t>La UNIA es una universidad solo de postgrado que no cuenta con personal docente propio. Nuestras características difieren del resto de universidades andaluzas</t>
  </si>
  <si>
    <t>88.5.105.187</t>
  </si>
  <si>
    <t>R_2jfd3XNCCnJMN7H</t>
  </si>
  <si>
    <t>Universidad de Monterrey</t>
  </si>
  <si>
    <t>César Alfredo Nanni De Valle</t>
  </si>
  <si>
    <t>cesar.nanni@udem.edu</t>
  </si>
  <si>
    <t>8110226745</t>
  </si>
  <si>
    <t>181.39.148.210</t>
  </si>
  <si>
    <t>R_1jtgU0ctAXeR3hf</t>
  </si>
  <si>
    <t>Universidad Politécnica de Madrid</t>
  </si>
  <si>
    <t>César García Aranda</t>
  </si>
  <si>
    <t>adjunto.sostenibilidad@upm.es</t>
  </si>
  <si>
    <t>Respecto a los datos numéricos de obligado cumplimiento, en las secciones con valor "cero" realmente no se disponía de acceso a esa información al completar la encuesta.
 Con relación a la gobernanza en sostenibilidad y responsabilidad social, en enero de 2025 con la toma de posesión de Óscar García como nuevo rector de la UPM se constituyeron dos vicerrectorados: Infraestructuras y Sostenibilidad, e Igualdad, Diversidad y Compromiso social. Desde ambas secciones se están diseñando nuestras estrategias y planes de acción que en los próximos meses serán publicados cuando se aprueben por los órganos correspondientes, se han considero en algunas respuestas los procesos que están en marcha internamente, aunque no estén publicados en la web todavía.</t>
  </si>
  <si>
    <t>193.147.188.5</t>
  </si>
  <si>
    <t>R_2BhBua4hXCBINHh</t>
  </si>
  <si>
    <t>Universidad Internacional de Valencia</t>
  </si>
  <si>
    <t>Clara Felis</t>
  </si>
  <si>
    <t>clara.felis@universidadviu.com</t>
  </si>
  <si>
    <t>Rectorado</t>
  </si>
  <si>
    <t>Mixta</t>
  </si>
  <si>
    <t>200.139.14.250</t>
  </si>
  <si>
    <t>R_5EXYcCaGRPoIZkB</t>
  </si>
  <si>
    <t>Instituto Federal de Educação, Ciência e Tecnologia de Pernambuco</t>
  </si>
  <si>
    <t>Diogo Paz</t>
  </si>
  <si>
    <t>assam@reitoria.ifpe.edu.br</t>
  </si>
  <si>
    <t>(81) 997387685</t>
  </si>
  <si>
    <t>200.133.6.194</t>
  </si>
  <si>
    <t>R_7nhhLgwm3DwDFGp</t>
  </si>
  <si>
    <t>Universidad Técnica Federico Santa María</t>
  </si>
  <si>
    <t>Dominique Le-Quesne Oyaneder</t>
  </si>
  <si>
    <t>dominique.le-quesne@usm.cl</t>
  </si>
  <si>
    <t>En la sección de indicadores básicos, la encuesta no especifica si se debe ingresar el valor correspondiente al año anterior o un promedio de varios años. Sería útil aclarar este punto para asegurar la consistencia de las respuestas.</t>
  </si>
  <si>
    <t>177.26.78.146</t>
  </si>
  <si>
    <t>R_6tHCEN9KXn04KcN</t>
  </si>
  <si>
    <t>Benemérita Universidad Autónoma de Puebla</t>
  </si>
  <si>
    <t>Dr. Manuel Sandoval Delgado</t>
  </si>
  <si>
    <t>manuel.sandoval@correo.buap.mx</t>
  </si>
  <si>
    <t>2221143234</t>
  </si>
  <si>
    <t>158.42.230.30</t>
  </si>
  <si>
    <t>R_2A0QiHLgSFvC0oy</t>
  </si>
  <si>
    <t>Universidad Tecnológica Empresarial de Guayaquil UTEG</t>
  </si>
  <si>
    <t>Dr. Sedolfo Carrasquero</t>
  </si>
  <si>
    <t>scarrasquero@uteg.edu.ec</t>
  </si>
  <si>
    <t>La Universidad Tecnológica Empresarial de Guayaquil valora la pertinencia de esta encuesta y considera que su estructura contribuye a fortalecer la medición comparada de la sostenibilidad en las Instituciones de Educación Superior iberoamericanas. Se sugiere, no obstante, que futuras versiones incluyan orientaciones más precisas sobre los niveles mínimos de evidencia requeridos para cada indicador, así como la posibilidad de adjuntar documentación de forma más estandarizada. Esto facilitaría la homogenización de criterios entre instituciones y permitiría una evaluación más precisa, transparente y comparable.</t>
  </si>
  <si>
    <t>Universitat de les Illes Balears</t>
  </si>
  <si>
    <t>Elena Baraza Ruiz</t>
  </si>
  <si>
    <t>directora.sostenibilitat@uib.cat</t>
  </si>
  <si>
    <t>186.42.18.228</t>
  </si>
  <si>
    <t>R_1TRWoBTMS5XTQQt</t>
  </si>
  <si>
    <t>Universidad Nacional de Cuyo</t>
  </si>
  <si>
    <t>Gabriela Lúquez</t>
  </si>
  <si>
    <t>gabriela.luquez@uncuyo.edu.ar</t>
  </si>
  <si>
    <t>Argentina</t>
  </si>
  <si>
    <t>Estudiantes Virtuales: Las ofertas 100% virtuales comienzan a dictarse el 2026
 Estudiantes Híbridos: No existe “titulaciones híbridas” en el sistema argentino. Podemos considerar híbridas a todas las titulaciones que incorporan en sus planes de estudio grados variables de virtualidad. Tomando este criterio, prácticamente la totalidad de los estudiantes de grado y pregrado pueden considerarse estudiantes de titulaciones “híbridos”. 
 Huella de Carbono: La UNCUYO ha comenzado a relevar la Huella de Carbono en el año 2022. Es un trabajo en el que progresivamente se van sumando nuevos edificios y se va mejorando la calidad de los datos que se reportan. Actualmente NO se está midiendo el 100% de los edificios
 Separación y Tratamiento de Residuos. La UNCUYO implementa desde hace muchos años el Programa SEPARA, pero este no se aplica en el 100% de los edificios de la Universidad.
 En lo que hace a separación de Residuos el dato volcado contempla el Predio Central de la UNCUYO que es dónde se implementa el Programa SEPARA. No hay datos para el total de la Universidad.
 ¿La Universidad fomenta la incorporación de la responsabilidad social y/o la sostenibilidad en contenidos y competencias de sus titulaciones de forma transversal?
 La UNCUYO esta trabajando en diferentes prácticas y laboratorios con la intención de ir incorporando progresivamente la sostenibilidad en las diferentes currículas
 ¿La Universidad publica datos concretos sobre su desempeño en relación con los ODS, de forma específica por cada ODS o de forma general (ejemplo: Memoria de Responsabilidad Social, Informe de Progreso Social, Informe de Sostenibilidad, EINF, Integración en Memoria Académica)?
 La UNCUYO esta elaborando actualmente un repositorio de buenas prácticas de sostenibilidad, vinculándolas a los ODS. Tbn. los diferentes proyectos de extensión que se implementan, y muchos de investigación, están referidos a ODS. La UNCUYO dicta un Diplomado específico en Herramientas para que las organizaciones gestionen en el marco de los ODS.
 Líneas de investigación: UNCUYO cuenta con convocatorias que responden a líneas prioritarias definidas por consenso para la provincia de Mendoza, y otras convocatorias cofinanciadas con temáticas acordadas con el co financiador, y otras con temática libre.
 Consumo de Agua total de la Universidad, y superficie de espacios verdes no se ha obtenido el dato al momento de la carga de la encuesta (Hay edificios que pagan una suma fija de agua y no se identifican los m3 utilizados). 
 Los datos de consumo energético colocado corresponde sólo a los edificios dónde se ha medido la HC, no corresponden al total de la UNCUYO</t>
  </si>
  <si>
    <t>Universidade Federal de São João del-Rei - UFSJ</t>
  </si>
  <si>
    <t>Gustavo Henrique Almeida</t>
  </si>
  <si>
    <t>nucleomeioambiente@ufsj.edu.br</t>
  </si>
  <si>
    <t>(32) 3379-5111</t>
  </si>
  <si>
    <t>Favor considerar os dados da Universidade Federal de São João del-Rei (UFSJ) preenchidos neste formulário, em detrimento do formulário respondido anteriormente.</t>
  </si>
  <si>
    <t>201.221.122.2</t>
  </si>
  <si>
    <t>R_5Dpt2sL4SuTXWqj</t>
  </si>
  <si>
    <t>Universidad de Ciencias Aplicadas y Ambientales U.D.C.A</t>
  </si>
  <si>
    <t>Henny Margoth Santiago Villa</t>
  </si>
  <si>
    <t>hsantiago@udca.edu.co</t>
  </si>
  <si>
    <t>3212329554</t>
  </si>
  <si>
    <t>Ninguna</t>
  </si>
  <si>
    <t>216.234.205.30</t>
  </si>
  <si>
    <t>R_5dKTkpnyP9kzQce</t>
  </si>
  <si>
    <t>Universidad La Salle México</t>
  </si>
  <si>
    <t>Homero Hernández Tena</t>
  </si>
  <si>
    <t>homero.hernandez@lasalle.mx</t>
  </si>
  <si>
    <t>200.17.203.184</t>
  </si>
  <si>
    <t>R_1hitCetsQcUKDmL</t>
  </si>
  <si>
    <t>Pontificia Universidad Católica del Perú</t>
  </si>
  <si>
    <t>Illari Aguilar</t>
  </si>
  <si>
    <t>illari.aguilar@pucp.edu.pe</t>
  </si>
  <si>
    <t>(511) 626-2000 Anexo 2153</t>
  </si>
  <si>
    <t>Perú</t>
  </si>
  <si>
    <t>-</t>
  </si>
  <si>
    <t>Universidade Federal Rural de Pernambuco (UFRPE)</t>
  </si>
  <si>
    <t>Janielly Mantovani Cravo</t>
  </si>
  <si>
    <t>cps.dprs.proplad@ufrpe.br</t>
  </si>
  <si>
    <t>(81) 99703-7376</t>
  </si>
  <si>
    <t>Não foi possível obter informações em tempo para responder aos itens relativos aos indicadores básicos. Dessa forma, indicou-se 0 para todos os itens dessa seção. Também não foi possível obter em tempo a porcentagem de estudantes matriculados provenientes de outros países, tendo sido indicado 0.
 Temos interesse em compreender melhor o escopo da pesquisa e de receber informações sobre os resultados finais obtidos. Agradecemos desde já.</t>
  </si>
  <si>
    <t>R_50IemCC0ETy6wtW</t>
  </si>
  <si>
    <t>Instituto Federal de Educação, Ciência e Tecnologia do Sul de Minas Gerais</t>
  </si>
  <si>
    <t>sustentabilidade@ifsuldeminas.edu.br</t>
  </si>
  <si>
    <t>(35) 3449-6150 ou (35) 99109-1228 (whatsapp)</t>
  </si>
  <si>
    <t>190.119.238.13</t>
  </si>
  <si>
    <t>R_5pPS2lP2bcpE3Ah</t>
  </si>
  <si>
    <t>Universidad de Murcia</t>
  </si>
  <si>
    <t>José Luján Alcaraz</t>
  </si>
  <si>
    <t>jlujan@um.es</t>
  </si>
  <si>
    <t>201.145.76.104</t>
  </si>
  <si>
    <t>R_1KYZ8WwsIo8vaBi</t>
  </si>
  <si>
    <t>Universidad Pablo de Olavide</t>
  </si>
  <si>
    <t>Juan R. Tejedo</t>
  </si>
  <si>
    <t>vrinfraestucturas@upo.es</t>
  </si>
  <si>
    <t>No</t>
  </si>
  <si>
    <t>80.36.124.219</t>
  </si>
  <si>
    <t>R_2hz0XX6B3I0oo89</t>
  </si>
  <si>
    <t>Universidad de Talca</t>
  </si>
  <si>
    <t>Karin López Sepúlveda</t>
  </si>
  <si>
    <t>klopez@utalca.cl</t>
  </si>
  <si>
    <t>56-71-2201714</t>
  </si>
  <si>
    <t>187.140.73.128</t>
  </si>
  <si>
    <t>R_6QhzbYaShURm4Ag</t>
  </si>
  <si>
    <t>Universidad Católica del Norte</t>
  </si>
  <si>
    <t>Kathalina Silva Caquisani</t>
  </si>
  <si>
    <t>kathalina.silva@ucn.cl</t>
  </si>
  <si>
    <t>R_7gOzJWnshUJ9YcE</t>
  </si>
  <si>
    <t>Universidad Politécnica de Atlautla</t>
  </si>
  <si>
    <t>Laura Segundo Gil</t>
  </si>
  <si>
    <t>secretariaacademica@upatlautla.edu.mx</t>
  </si>
  <si>
    <t>Subdirección Académica</t>
  </si>
  <si>
    <t>150.244.160.60</t>
  </si>
  <si>
    <t>R_8ZCPyaeLrRpYTTj</t>
  </si>
  <si>
    <t>Universidad Andrés Bello</t>
  </si>
  <si>
    <t>Lesly Orellana</t>
  </si>
  <si>
    <t>lesly.orellana@unab.cl</t>
  </si>
  <si>
    <t>Incluir documento anexo que explique cada pregunta para evitar confusiones.</t>
  </si>
  <si>
    <t>R_17llkCw773pE2qd</t>
  </si>
  <si>
    <t>UNIVERSIDAD DEL VALLE DE MÉXICO</t>
  </si>
  <si>
    <t>linda.nava@uvmnet.edu</t>
  </si>
  <si>
    <t>Responsabilidad Social Corporativa</t>
  </si>
  <si>
    <t>el tiempo de preparación para la encuesta fue muy poco y por ello hubo datos que no me fue factible compartir, como el número de edificios, metros de áreas verdes, etc. y como no me permitía escribir "información no disponible" está señalado en Cero
 Recomendaría que en el segmento donde la opciones indican "Dispone" y "No Dispone", incluyan un indicador más que diga "En Desarrollo"</t>
  </si>
  <si>
    <t>179.216.115.179</t>
  </si>
  <si>
    <t>R_3V4oCHHfVHUDGI2</t>
  </si>
  <si>
    <t>UNIVERSIDAD TECNOLÓGICA DE MÉXICO</t>
  </si>
  <si>
    <t>5546409168</t>
  </si>
  <si>
    <t>El tiempo de respuesta fue muy corto, por ello no pudimos reportar todos los indicadores cuantitativos tales como el número de edificios, áreas verdes, etc. todos ellos los reportamos con valor "0" para que los puedan Identificar.
 Recomendaría en los indicadores donde las opciones son "Dispone" o "No Dispone" incluyan un indicador más que diga "En Desarrollo"
 Compartimos que en Laureate Mx. estamos promoviendo que nuestros campus obtengan una Certificación de Responsabilidad por el Equilibrio Ambiental, y UNITEC tiene ya el 83% de sus campus Certificados (Laureate ya alcanzó el 60% de los campus)</t>
  </si>
  <si>
    <t>212.9.86.59</t>
  </si>
  <si>
    <t>R_2nZ9j52G0mortvf</t>
  </si>
  <si>
    <t>Universidad de Valladolid</t>
  </si>
  <si>
    <t>Luis Carlos Martínez Fernández</t>
  </si>
  <si>
    <t>jefe.gabinete.rector@uva.es</t>
  </si>
  <si>
    <t>983185089</t>
  </si>
  <si>
    <t>190.144.176.2</t>
  </si>
  <si>
    <t>R_1CcHSFeetMRfR2F</t>
  </si>
  <si>
    <t>Universidad Nacional del Litoral</t>
  </si>
  <si>
    <t>Luis Ignacio Schneider</t>
  </si>
  <si>
    <t>ischneider@unl.edu.ar</t>
  </si>
  <si>
    <t>Se cuenta con un documento de evidencias para adjuntar o enviar en caso de corresponder.</t>
  </si>
  <si>
    <t>200.3.144.9</t>
  </si>
  <si>
    <t>R_7lomrm6m2o1rSZX</t>
  </si>
  <si>
    <t>Universidad Nacional de La Plata</t>
  </si>
  <si>
    <t>M. Luisa Cerutti</t>
  </si>
  <si>
    <t>luisa.cerutti@gmail.com</t>
  </si>
  <si>
    <t>150.214.23.56</t>
  </si>
  <si>
    <t>R_8oZogPSIjIITmim</t>
  </si>
  <si>
    <t>Universidad de Cádiz</t>
  </si>
  <si>
    <t>Mª Dolores Coello Oviedo</t>
  </si>
  <si>
    <t>directora.compromisoambiental@uca.es</t>
  </si>
  <si>
    <t>679052148</t>
  </si>
  <si>
    <t>186.85.242.126</t>
  </si>
  <si>
    <t>R_30igziiS44dXxeN</t>
  </si>
  <si>
    <t>Corporación Universitaria Minuto de Dios-UNIMINUTO</t>
  </si>
  <si>
    <t>Margarita Rosa Pérez Carvajal</t>
  </si>
  <si>
    <t>mperez@uniminuto.edu</t>
  </si>
  <si>
    <t>Vicerrectoría General Académica</t>
  </si>
  <si>
    <t>Ninguno</t>
  </si>
  <si>
    <t>Universidade Cidade de São Paulo</t>
  </si>
  <si>
    <t>Maria Elisabete Salina Saldanha</t>
  </si>
  <si>
    <t>maria.saldanha@unicid.edu.br</t>
  </si>
  <si>
    <t>A Pesquisa é sempre uma oportunidade de reflexão. Estamos em processo de implementação de um Escritório Verde.</t>
  </si>
  <si>
    <t>148.202.139.1</t>
  </si>
  <si>
    <t>R_1Y7Bicgmtkw0t9L</t>
  </si>
  <si>
    <t>Universidad de Cantabria</t>
  </si>
  <si>
    <t>Maria Margallo</t>
  </si>
  <si>
    <t>margallom@unican.es</t>
  </si>
  <si>
    <t>Universitat Politècnica de Catalunya (UPC)</t>
  </si>
  <si>
    <t>mireia.de.mingo@upc.edu</t>
  </si>
  <si>
    <t>Dado que parte de las preguntas tienen un cierto carácter subjetivo, sería interesante solicitar evidencias a las universidades para poder analizar las respuestas con mayor grado de profundidad y así poder elaborar un diagnóstico y recomendaciones más completas. Saludos cordiales.</t>
  </si>
  <si>
    <t>46.6.122.91</t>
  </si>
  <si>
    <t>R_8cSPey7649pnP96</t>
  </si>
  <si>
    <t>Universidad Norbert Wiener</t>
  </si>
  <si>
    <t>Miriam Herrera Salazar</t>
  </si>
  <si>
    <t>Miriam.herrera@uwiener.edu.pe</t>
  </si>
  <si>
    <t>R_7EuRe2mJFRt3LqX</t>
  </si>
  <si>
    <t>Universidad Austral de Chile</t>
  </si>
  <si>
    <t>Mónica Alacid Jaramillo</t>
  </si>
  <si>
    <t>monicaalacid@uach.cl</t>
  </si>
  <si>
    <t>146.83.191.34</t>
  </si>
  <si>
    <t>R_3CJdUIP7XarxtC0</t>
  </si>
  <si>
    <t>Universidad Politécnica Estatal del Carchi</t>
  </si>
  <si>
    <t>Nathaly Alexandra Burbano Delgado</t>
  </si>
  <si>
    <t>nathaly.burbano@upec.edu.ec</t>
  </si>
  <si>
    <t>Se sugiere complementar la encuensta, con registros fotográficos de las acciones implementadas o programas de sostenibilidad desarrollados.</t>
  </si>
  <si>
    <t>130.206.41.17</t>
  </si>
  <si>
    <t>R_8y6gI3GHwuMtdex</t>
  </si>
  <si>
    <t>Universidad Tecnologica de Tehuacán</t>
  </si>
  <si>
    <t>Patricia Hernández Herrera</t>
  </si>
  <si>
    <t>patricia.hernandez@uttehuacan.edu.mx</t>
  </si>
  <si>
    <t>Realizar la retroalimentación correspondiente</t>
  </si>
  <si>
    <t>177.143.24.20</t>
  </si>
  <si>
    <t>R_1M5MR2XBXtAStJ7</t>
  </si>
  <si>
    <t>CEFET - CENTRO FEDERAL DE EDUCAÇÃO TECNOLÓGICA CELSO SUCKOW DA FONSECA</t>
  </si>
  <si>
    <t>Paula Michelle Purcidônio</t>
  </si>
  <si>
    <t>dedin@cefet-rj.br; andre.riguetti@cefet-rj.br</t>
  </si>
  <si>
    <t>21987882833 ; (21) 98357.1501</t>
  </si>
  <si>
    <t>Alguns questionamentos podem ser mal interpretados ou de dificil acesso á sua resposta, devido a formulação confusa. Além disso, algumas perguntas deveriam aceitar virgulas ou percentual como resposta.</t>
  </si>
  <si>
    <t>190.81.187.137</t>
  </si>
  <si>
    <t>R_39PBTEE2TWmvNbX</t>
  </si>
  <si>
    <t>Universidad Nacional de Loja</t>
  </si>
  <si>
    <t>Paulina Vanesa Fernández Guarnizo</t>
  </si>
  <si>
    <t>paulina.fernandez@unl,edu.ec</t>
  </si>
  <si>
    <t>0997629863</t>
  </si>
  <si>
    <t>Cuando se pone cantidades no permite poner decimales, existen algunos términos (muy pocos) que no son comunes en todos los países, hacer un pequeño glosario</t>
  </si>
  <si>
    <t>152.230.71.234</t>
  </si>
  <si>
    <t>R_7K7oRznSiwWW4Hv</t>
  </si>
  <si>
    <t>Universidad de Salamanca</t>
  </si>
  <si>
    <t>Pedro Calero Pérez</t>
  </si>
  <si>
    <t>oficinaverde@usal.es, pcalero@usal.es</t>
  </si>
  <si>
    <t>La proporción entre espacio construido (superficie útil) y el espacio verde es de 0,56. Como no se podía incluir el dato correctamente, hemos optado por poner el porcentaje. Los datos son 453438,49 m2 construidos vs. 251641,36 m2 de zonas y espacios verdes.
 El porcentaje de residuos sólidos reciclados/valorizados se trata de una estimación, fruto de la información proporcionada por las entidades locales y por las estadísticas de generación y gestión de residuos mediante itinerarios específicos (peligrosos, no peligrosos y RAEE). 
 En el futuro intentaremos proporcionar datos más ajustados a los reales.</t>
  </si>
  <si>
    <t>186.40.74.232</t>
  </si>
  <si>
    <t>R_6WZs7EA5jEpqiLC</t>
  </si>
  <si>
    <t>Universidad de León</t>
  </si>
  <si>
    <t>Rebeca Martínez García</t>
  </si>
  <si>
    <t>rmartg@unileon.es</t>
  </si>
  <si>
    <t>699969771</t>
  </si>
  <si>
    <t>191.91.167.129</t>
  </si>
  <si>
    <t>R_63jSwkqqypDFlQa</t>
  </si>
  <si>
    <t>Universidad de San Pablo Tucuman</t>
  </si>
  <si>
    <t>Rector</t>
  </si>
  <si>
    <t>ralbarracin@uspt.edu.ar</t>
  </si>
  <si>
    <t>157.88.52.88</t>
  </si>
  <si>
    <t>R_8ASbtsd1WJmuGRM</t>
  </si>
  <si>
    <t>Universidad de Lima</t>
  </si>
  <si>
    <t>Ronny Fischer</t>
  </si>
  <si>
    <t>rfischer@ulima.edu.pe</t>
  </si>
  <si>
    <t>015252800 / anexo 39800</t>
  </si>
  <si>
    <t>En algunas respuestas no se me permitió usar decimal ni símbolos</t>
  </si>
  <si>
    <t>200.7.141.29</t>
  </si>
  <si>
    <t>R_61H5fFpBq4TuLfP</t>
  </si>
  <si>
    <t>UNIVERSIDAD FEMENINA DEL SAGRADO CORAZON</t>
  </si>
  <si>
    <t>miranorth@unife.edu.pe</t>
  </si>
  <si>
    <t>989-014172</t>
  </si>
  <si>
    <t>152.171.41.152</t>
  </si>
  <si>
    <t>R_11UaLS0UKi5eNfb</t>
  </si>
  <si>
    <t>UNIVERSIDAD FERNANDO PESSOA CANARIAS</t>
  </si>
  <si>
    <t>secretariadireccion@ufpcanarias.es</t>
  </si>
  <si>
    <t>177.226.99.123</t>
  </si>
  <si>
    <t>R_7Hk25QHnVa4K4LL</t>
  </si>
  <si>
    <t>Universidad del Pacífico</t>
  </si>
  <si>
    <t>Susana Torres</t>
  </si>
  <si>
    <t>ms.torresj@up.edu.pe</t>
  </si>
  <si>
    <t>Universidade Tecnológica Federal do Paraná</t>
  </si>
  <si>
    <t>tamara@utfpr.edu.br</t>
  </si>
  <si>
    <t>a plataforma utilizada não permite o detalhamento dos indicadores . Como a UTFPR possui 13 campus e possui diferenças entre os mesmos. As áreas verdes não foram somadas, o que dificultou a inserção do dado, e também na geração de resíduos reciclados o dado ficou bem solto, pois não temos controle sobre o que foi realmente reciclado.</t>
  </si>
  <si>
    <t>155.54.67.150</t>
  </si>
  <si>
    <t>R_2XdqO9XYNjaeACt</t>
  </si>
  <si>
    <t>Universidad de Celaya</t>
  </si>
  <si>
    <t>Veronica Perea Medina</t>
  </si>
  <si>
    <t>vperea@udec.edu.mx</t>
  </si>
  <si>
    <t>Vicerrectoría</t>
  </si>
  <si>
    <t>Muy interesante y con gusto de haber participado</t>
  </si>
  <si>
    <t>UNIVERSIDADE ESTADUAL DA PARAÍBA</t>
  </si>
  <si>
    <t>Weruska Brasileiro Ferreira</t>
  </si>
  <si>
    <t>proinfra@setor.uepb.edu.br</t>
  </si>
  <si>
    <t>(83)3315-3341</t>
  </si>
  <si>
    <t>45.231.80.102</t>
  </si>
  <si>
    <t>R_7qpUpJ1tlv3tIUF</t>
  </si>
  <si>
    <t>Mondragón Unibertsitatea (UMON)</t>
  </si>
  <si>
    <t>164.77.114.100</t>
  </si>
  <si>
    <t>R_7CMqWoMXaRmxpip</t>
  </si>
  <si>
    <t>Universidad Camilo José Cela (UCJC)</t>
  </si>
  <si>
    <t>181.61.209.181</t>
  </si>
  <si>
    <t>R_1GlWbIKw2Ml7doI</t>
  </si>
  <si>
    <t>Universidad de Alicante (UA)</t>
  </si>
  <si>
    <t>46.6.14.171</t>
  </si>
  <si>
    <t>R_2QYmR8tu24nIgIP</t>
  </si>
  <si>
    <t>Universidad de La Rioja (UR)</t>
  </si>
  <si>
    <t>R_5IBmJvA4qWMmbIy</t>
  </si>
  <si>
    <t>Universidad Jaume I de Castellón (UJI)</t>
  </si>
  <si>
    <t>200.201.24.20</t>
  </si>
  <si>
    <t>R_7PqiMoN8ESoyMrx</t>
  </si>
  <si>
    <t>Universidad Pública de Navarra (UPNA)</t>
  </si>
  <si>
    <t>200.128.60.159</t>
  </si>
  <si>
    <t>R_3RgePvRWnRmxSdr</t>
  </si>
  <si>
    <t>Universidad Ramón Llull (URLL)</t>
  </si>
  <si>
    <t>Universitat de València (Estudi General) (UV)</t>
  </si>
  <si>
    <t>187.145.60.229</t>
  </si>
  <si>
    <t>R_7b1a3nNCwJnvGQI</t>
  </si>
  <si>
    <t>Universidad Panamericana</t>
  </si>
  <si>
    <t>Alejandra Hernández Garzón</t>
  </si>
  <si>
    <t>ahernande@up.edu.mx</t>
  </si>
  <si>
    <t>Estamos trabajando en formalizar los procesos referentes a la sostenibilidad universitaria e institucional. Buscamos capacitar a nuestra comunidad universitaria en temas de Sostenibilidad y Responsabilidad Social</t>
  </si>
  <si>
    <t>190.189.106.181</t>
  </si>
  <si>
    <t>R_6ccF7tK5mO1VxJv</t>
  </si>
  <si>
    <t>UNIVERSIDAD FRANCISCO DE VITORIA</t>
  </si>
  <si>
    <t>ana.mosquera@ufv.es</t>
  </si>
  <si>
    <t>193.146.134.117</t>
  </si>
  <si>
    <t>R_8MJx5R486ojVnrM</t>
  </si>
  <si>
    <t>CUNEF Universidad</t>
  </si>
  <si>
    <t>Anastasia Datsyuk</t>
  </si>
  <si>
    <t>anastasia.datsyuk@cunef.edu</t>
  </si>
  <si>
    <t>Departamento Internacional</t>
  </si>
  <si>
    <t>(+34) 91 444 51 61</t>
  </si>
  <si>
    <t>En el apartado de ‘Indicadores básicos’ no es posible introducir los datos, ya que el sistema no acepta ni coma ni punto como separador decimal. Adjunto nuestros datos Consumo total de energía por año en kWh/año: 443.928. Huella de carbono institucional (Alcance 1+2) en tCO2e/año: 21,66, • Proporción de áreas verdes por superficie construida en m² verde / m² construido: 5.754 m² de zonas libres y 36.133 m² construidos.</t>
  </si>
  <si>
    <t>190.96.31.2</t>
  </si>
  <si>
    <t>R_33DyGsEns5Z9PCu</t>
  </si>
  <si>
    <t>Universidad de Granada</t>
  </si>
  <si>
    <t>Carolina Cárdenas Paiz</t>
  </si>
  <si>
    <t>uca@ugr.es</t>
  </si>
  <si>
    <t>958241000 ext 20834</t>
  </si>
  <si>
    <t>187.36.113.106</t>
  </si>
  <si>
    <t>R_5p1lysjupF7rw1r</t>
  </si>
  <si>
    <t>Universidad San Buenaventura Cali</t>
  </si>
  <si>
    <t>Cristhian Mauricio Hurtado Escobar</t>
  </si>
  <si>
    <t>coord.est.analit@usbcali.edu.co</t>
  </si>
  <si>
    <t>163.117.64.31</t>
  </si>
  <si>
    <t>R_2h9ew2Rt1aA16go</t>
  </si>
  <si>
    <t>UNIVERSIDAD AUTÓNOMA DE MADRID</t>
  </si>
  <si>
    <t>vicerrectorado.compromiso@uam.es</t>
  </si>
  <si>
    <t>914975054</t>
  </si>
  <si>
    <t>Para cualquier aclaración o ampliación de información, no duden en contactarnos.</t>
  </si>
  <si>
    <t>84.88.181.74</t>
  </si>
  <si>
    <t>R_2gLNKfrPq9DaPpn</t>
  </si>
  <si>
    <t>Universidad Tecnologica de Tulancingo</t>
  </si>
  <si>
    <t>Dra. Dulce M. Barberena Serrano</t>
  </si>
  <si>
    <t>dir_planeacion@utectulancingo.edu.mx</t>
  </si>
  <si>
    <t>7756890060 ext. 1160</t>
  </si>
  <si>
    <t>85.86.26.0</t>
  </si>
  <si>
    <t>R_8VkOALhjTH6QVFv</t>
  </si>
  <si>
    <t>Universidad Católica de Temuco</t>
  </si>
  <si>
    <t>Fabiola Barriga Arroyo</t>
  </si>
  <si>
    <t>kbarriga@uct.cl</t>
  </si>
  <si>
    <t>Prorrectoría</t>
  </si>
  <si>
    <t>9 7418 6016</t>
  </si>
  <si>
    <t>Seria importante considerar la huella de carbono por estudiante.</t>
  </si>
  <si>
    <t>Universidade Federal do Rio Grande</t>
  </si>
  <si>
    <t>Felipe Kessler</t>
  </si>
  <si>
    <t>siga@furg.br</t>
  </si>
  <si>
    <t>(53) 32373527</t>
  </si>
  <si>
    <t>Algumas outras pesquisas possibilitam o envio de documentos para comprar as respostas enviadas.</t>
  </si>
  <si>
    <t>200.18.144.254</t>
  </si>
  <si>
    <t>R_1FB38SazaOGUa3f</t>
  </si>
  <si>
    <t>UNIVERSIDAD SIMÓN BOLÍVAR</t>
  </si>
  <si>
    <t>fernando.moron@unisimon.edu.co</t>
  </si>
  <si>
    <t>3160253546</t>
  </si>
  <si>
    <t>77.224.53.49</t>
  </si>
  <si>
    <t>R_27qHktbadjoJeZR</t>
  </si>
  <si>
    <t>UNIVERSIDAD TECNOLOGICA DEL PERU</t>
  </si>
  <si>
    <t>IEVARISTO@UTP.EDU.PE</t>
  </si>
  <si>
    <t>201.174.234.10</t>
  </si>
  <si>
    <t>R_7e8QHhBJOdrsRhG</t>
  </si>
  <si>
    <t>CETYS Universidad</t>
  </si>
  <si>
    <t>Isaac Azuz-Adeath</t>
  </si>
  <si>
    <t>isaac.azuz@cetys.mx</t>
  </si>
  <si>
    <t>Sería muy benéfico que la encuesta hiciera preguntas más específicas, en muchos casos no es solamente 1 pregunta sino varias en una misma. Por ejemplo: ¿La universidad dispone de un portal de transparencia que publique ... programas académicos (si), calidad en la docencia (si), evaluación del profesorado (si), estados financieros anuales (no), presupuesto anual (no), informe de inversiones (no)? y de esta forma no se tiene claro qué se debe de responder en casos como este. Existen varias preguntas con el mismo problema, muchos elementos para dar una respuesta única. Espero este comentario ayude. Saludos y gracias por la iniciativa.</t>
  </si>
  <si>
    <t>R_1cSpWX6gFMnFdiH</t>
  </si>
  <si>
    <t>Universidad Pontificia Bolivariana</t>
  </si>
  <si>
    <t>Isabel Cristina Rendón Vanegas</t>
  </si>
  <si>
    <t>isabel.rendon@upb.edu.co</t>
  </si>
  <si>
    <t>201.141.19.142</t>
  </si>
  <si>
    <t>R_1vLGx9wCgJEg5O1</t>
  </si>
  <si>
    <t>Instituto Profesional AIEP</t>
  </si>
  <si>
    <t>Javiera Gutiérrez Berríos</t>
  </si>
  <si>
    <t>javiera.gutierrez.b@aiep.cl</t>
  </si>
  <si>
    <t>en el indicador de proporción de áreas verdes no logré poner número decimal, nuestra respuesta es 0,038.</t>
  </si>
  <si>
    <t>Universidad Veracruzana</t>
  </si>
  <si>
    <t>Laura Odila Bello Benavides</t>
  </si>
  <si>
    <t>labello@uv.mx</t>
  </si>
  <si>
    <t>R_72c2RojyQZk1gWd</t>
  </si>
  <si>
    <t>Pontificia Universidad Católica de Valparaíso</t>
  </si>
  <si>
    <t>Luca Acevedo</t>
  </si>
  <si>
    <t>luca.acevedo@pucv.cl</t>
  </si>
  <si>
    <t>Mejorar los porcentajes de avance de finalización de encuesta</t>
  </si>
  <si>
    <t>177.3.94.99</t>
  </si>
  <si>
    <t>R_3MAn9IJhx070ugv</t>
  </si>
  <si>
    <t>FHO - Fundação Hermínio Ometto</t>
  </si>
  <si>
    <t>Marco Antonio</t>
  </si>
  <si>
    <t>marco@fho.edu.br</t>
  </si>
  <si>
    <t>164.163.48.1</t>
  </si>
  <si>
    <t>R_3BbKl7LIWCaJZ1q</t>
  </si>
  <si>
    <t>Universidad EIA</t>
  </si>
  <si>
    <t>María Camila Arango Álvarez</t>
  </si>
  <si>
    <t>maria.arango22@eia.edu.co</t>
  </si>
  <si>
    <t>190.242.58.2</t>
  </si>
  <si>
    <t>R_3qWCAfsbAwFemt4</t>
  </si>
  <si>
    <t>Colegio de Estudios Superiores de Administración (CESA)</t>
  </si>
  <si>
    <t>Mariana Andrea Rojas Díaz</t>
  </si>
  <si>
    <t>mariana.rojasd@cesa.edu.co</t>
  </si>
  <si>
    <t>Cundinamarca - Bogotá D.C</t>
  </si>
  <si>
    <t>Para robustecer el ejercicio sugiero más adelante subir soportes o enlaces, ejemplo: Informes de sostenibilidad. Adicional, que nos compartan los resultados de la encuesta, tendencias y promedios. Muchas gracias.</t>
  </si>
  <si>
    <t>193.144.85.2</t>
  </si>
  <si>
    <t>R_81Zzp6jtD8ZDK4D</t>
  </si>
  <si>
    <t>Universidad Privada del Norte</t>
  </si>
  <si>
    <t>Mariel Trujillo</t>
  </si>
  <si>
    <t>mariel.trujillo@upn.edu.pe</t>
  </si>
  <si>
    <t>R_3G7A23DhadkKRYI</t>
  </si>
  <si>
    <t>Pontificia Universidad Católica de Chile</t>
  </si>
  <si>
    <t>Maryon Urbina</t>
  </si>
  <si>
    <t>maryon.urbina@uc.cl</t>
  </si>
  <si>
    <t>R_6bwGHrpZdXaTdBv</t>
  </si>
  <si>
    <t>Universidad San Ignacio de Loyola - USIL</t>
  </si>
  <si>
    <t>Ricardo Alfredo Miranda Rodríguez</t>
  </si>
  <si>
    <t>rmiranda@usil.edu.pe</t>
  </si>
  <si>
    <t>45.171.39.75</t>
  </si>
  <si>
    <t>R_7CraevGLR1CKhOm</t>
  </si>
  <si>
    <t>Universidad Diego Portales</t>
  </si>
  <si>
    <t>sebastian.perez@udp.cl</t>
  </si>
  <si>
    <t>179.49.239.163</t>
  </si>
  <si>
    <t>R_5NjZuwLqqKCIYk9</t>
  </si>
  <si>
    <t>Universidad de Alcalá</t>
  </si>
  <si>
    <t>vicer.coordinacion@uah.es</t>
  </si>
  <si>
    <t>201.214.146.227</t>
  </si>
  <si>
    <t>R_3LYAoE37AsEDatr</t>
  </si>
  <si>
    <t>Universidad Autónoma de Barcelona (UAB)</t>
  </si>
  <si>
    <t>200.11.48.81</t>
  </si>
  <si>
    <t>R_7DUr3Z6hLrPKc5c</t>
  </si>
  <si>
    <t>Universidad de Jaén (UJA)</t>
  </si>
  <si>
    <t>88.98.121.125</t>
  </si>
  <si>
    <t>R_2jyzCOMHtJQkj29</t>
  </si>
  <si>
    <t>Universidad de La Laguna (ULL)</t>
  </si>
  <si>
    <t>R_3P5G5pvhtIPQvfA</t>
  </si>
  <si>
    <t>Universidad de Santiago de Compostela (USC)</t>
  </si>
  <si>
    <t>209.45.112.66</t>
  </si>
  <si>
    <t>R_6diwWeQv9RLOrkS</t>
  </si>
  <si>
    <t>Universidad de Sevilla (USE)</t>
  </si>
  <si>
    <t>Universitat Internacional de Catalunya (UIC)</t>
  </si>
  <si>
    <t>187.188.168.7</t>
  </si>
  <si>
    <t>R_5jB3Z3Tjq330ZAl</t>
  </si>
  <si>
    <t>UFAPE</t>
  </si>
  <si>
    <t>Adilma Lopes</t>
  </si>
  <si>
    <t>adilma.lopes@ufape.edu.br</t>
  </si>
  <si>
    <t>Relatório muito longo.</t>
  </si>
  <si>
    <t>Sin sello</t>
  </si>
  <si>
    <t>Universidade Federal do Agreste de Pernambuco</t>
  </si>
  <si>
    <t>Adilma Lopes Brandão</t>
  </si>
  <si>
    <t>87 9 9633-7131</t>
  </si>
  <si>
    <t>45.5.174.126</t>
  </si>
  <si>
    <t>R_1PnJb4CdTOILF05</t>
  </si>
  <si>
    <t>Universidad Nacional de Luján</t>
  </si>
  <si>
    <t>Adriana Rosenfeld</t>
  </si>
  <si>
    <t>arosenfeld@proiap.org</t>
  </si>
  <si>
    <t>190.221.174.23</t>
  </si>
  <si>
    <t>R_3PS1pP04RO7AYO1</t>
  </si>
  <si>
    <t>UNIVERSIDAD ACADEMIA DE HUMANISMO CRISTIANO</t>
  </si>
  <si>
    <t>alfredo.sepulveda@academia.cl</t>
  </si>
  <si>
    <t>977588933</t>
  </si>
  <si>
    <t>200.121.25.27</t>
  </si>
  <si>
    <t>R_1haRsQwQdbH30cq</t>
  </si>
  <si>
    <t>Universidad Internacional de la Rioja S.A.</t>
  </si>
  <si>
    <t>Ángel Ruiz Cueva</t>
  </si>
  <si>
    <t>angel.ruiz@unir.net</t>
  </si>
  <si>
    <t>138.84.35.40</t>
  </si>
  <si>
    <t>R_6po0b7g3wIqbAno</t>
  </si>
  <si>
    <t>UFPR</t>
  </si>
  <si>
    <t>Anna Gabriella Tempesta</t>
  </si>
  <si>
    <t>anna.tempesta@ufpr.br</t>
  </si>
  <si>
    <t>PRPI</t>
  </si>
  <si>
    <t>41999998245</t>
  </si>
  <si>
    <t>A universidade não tem medida a quantidade de resíduos reciclados e nem a pegada de carbono</t>
  </si>
  <si>
    <t>148.228.51.0</t>
  </si>
  <si>
    <t>R_5HZD9BrWjoTbzjJ</t>
  </si>
  <si>
    <t>Universidade Federal de Uberlândia</t>
  </si>
  <si>
    <t>reitoria@ufu.br</t>
  </si>
  <si>
    <t>(34) 3239-4893</t>
  </si>
  <si>
    <t>190.46.66.202</t>
  </si>
  <si>
    <t>R_7rkoNLzMddseJgd</t>
  </si>
  <si>
    <t>Universidad de Las Américas</t>
  </si>
  <si>
    <t>Claudia Orellana</t>
  </si>
  <si>
    <t>corellanac@udla.cl</t>
  </si>
  <si>
    <t>Sostenibilidad</t>
  </si>
  <si>
    <t>987471017</t>
  </si>
  <si>
    <t>En la sección destinada a registrador de datos y consumos, se dejó el valor en cero debido a que no se cuenta con toda la información necesaria para responder a nivel institucional. Actualmente, se está solicitando esta información con el fin de consolidarla y gestionarla de manera más amigable.</t>
  </si>
  <si>
    <t>158.251.255.243</t>
  </si>
  <si>
    <t>R_79JbjOPwOWr4IW5</t>
  </si>
  <si>
    <t>Instituto Universitario de Ciencias de la Salud - Fundación Barceló</t>
  </si>
  <si>
    <t>Daniela Bostany</t>
  </si>
  <si>
    <t>dbostany@barcelo.edu.ar</t>
  </si>
  <si>
    <t>(54-11) 4800-0200 int 1180</t>
  </si>
  <si>
    <t>Aun no se están midiendo de manera sistemática los indicadores básicos. es por eso que la respuesta fue 0.</t>
  </si>
  <si>
    <t>200.9.158.30</t>
  </si>
  <si>
    <t>R_71vs5LE87sGAnUA</t>
  </si>
  <si>
    <t>Universidad Autónoma del Estado de Hidalgo UAEH</t>
  </si>
  <si>
    <t>Dr. Otilio Arturo Acevedo Sandoval</t>
  </si>
  <si>
    <t>acevedo@uaeh.edu.mx</t>
  </si>
  <si>
    <t>200.1.20.128</t>
  </si>
  <si>
    <t>R_3SJpPHlqOYyZ4RC</t>
  </si>
  <si>
    <t>UNIVERSIDAD NACIONAL DEL SUR</t>
  </si>
  <si>
    <t>pablo.marinangeli@uns.edu.ar</t>
  </si>
  <si>
    <t>Nº de empleados promedio: Datos año 2023; Nº de estudiantes matriculados: Datos año 2024; estudiantes matriculados procedentes de otros países: Datos año 2024; Huella de Carbono: Datos año 2022; Proporción de áreas verdes por superficie construida en m2 verde / m2 construido: No lo tenemos contabilizado aun para esta encuesta; Presupuesto ambiental institucional por año en USD/año: No discriminado;</t>
  </si>
  <si>
    <t>R_2OOjwd91T2h0ZPU</t>
  </si>
  <si>
    <t>Universidad Autónoma de Tamaulipas</t>
  </si>
  <si>
    <t>Dra. Rosa Issel Acosta González</t>
  </si>
  <si>
    <t>racosta@uat.edu.mx</t>
  </si>
  <si>
    <t>Secretaría Académica</t>
  </si>
  <si>
    <t>834 31 8 18 00 ext:1281, 1288</t>
  </si>
  <si>
    <t>NINGUNO</t>
  </si>
  <si>
    <t>Universidade Estadual do Norte do Paraná</t>
  </si>
  <si>
    <t>Dyego Leonardo Ferraz Caetano</t>
  </si>
  <si>
    <t>dirplan@uenp.edu.br</t>
  </si>
  <si>
    <t>181.87.11.249</t>
  </si>
  <si>
    <t>R_2GvncmLvliIzL7W</t>
  </si>
  <si>
    <t>Universidad de La Salle</t>
  </si>
  <si>
    <t>Eduar Reyes Garzón</t>
  </si>
  <si>
    <t>edreyes@lasalle.edu.co</t>
  </si>
  <si>
    <t>3165278591</t>
  </si>
  <si>
    <t>200.131.59.155</t>
  </si>
  <si>
    <t>R_6Lhg0bnuJz9Yiqw</t>
  </si>
  <si>
    <t>Instituto Federal de Educação, Ciência e Tecnologia do Acre</t>
  </si>
  <si>
    <t>Emanoel Amador Reis Neto</t>
  </si>
  <si>
    <t>prodin.didin@ifac.edu.br</t>
  </si>
  <si>
    <t>6821066865</t>
  </si>
  <si>
    <t>Apenas deixar registrado que as respostas refletem a visão geral da instituição, a partir desta Diretoria, com base em dados de ensino coletados na Plataforma Nilo Peçanha, e demais informações extraídas do Relatório de Gestão 2024 do Ifac, disponível em: https://www.ifac.edu.br/acesso-a-informacao/auditorias/copy_of_RelatriodeGesto2024_VersoFinal_Retificado_04.04.2025.pdf</t>
  </si>
  <si>
    <t>200.2.119.117</t>
  </si>
  <si>
    <t>R_5P8hb8zXacQR3IK</t>
  </si>
  <si>
    <t>UNIVERSIDAD ANÁHUAC OAXACA</t>
  </si>
  <si>
    <t>erwin.garcia@anahuac.mx</t>
  </si>
  <si>
    <t>5016250</t>
  </si>
  <si>
    <t>Considero que algunas preguntas estan hechas para campus con mayor infraestructura</t>
  </si>
  <si>
    <t>179.6.6.165</t>
  </si>
  <si>
    <t>R_6x35l5dINM2ak4V</t>
  </si>
  <si>
    <t>Universidad Nacional de Río Cuarto</t>
  </si>
  <si>
    <t>Evangelina Natale</t>
  </si>
  <si>
    <t>enatale@exa.unrc.edu.ar</t>
  </si>
  <si>
    <t>3584676173 int 5</t>
  </si>
  <si>
    <t>186.238.14.132</t>
  </si>
  <si>
    <t>R_3DnhLZYm8UdG396</t>
  </si>
  <si>
    <t>Centro Universitário Braz Cubas</t>
  </si>
  <si>
    <t>Fernanda Talhati</t>
  </si>
  <si>
    <t>fernanda.andrade@brazcubas.edu.br</t>
  </si>
  <si>
    <t>93.156.222.102</t>
  </si>
  <si>
    <t>R_82X2QdKOifziIhB</t>
  </si>
  <si>
    <t>Universidad de Ingeniería y Tecnología</t>
  </si>
  <si>
    <t>Gabriela Garcia Benavente</t>
  </si>
  <si>
    <t>ggarcia@utec.edu.pe</t>
  </si>
  <si>
    <t>999575240</t>
  </si>
  <si>
    <t>R_137I1o3othxYSCO</t>
  </si>
  <si>
    <t>Instituto Superior de Ciencias Sociales y económico Fimiliares - ICSEF</t>
  </si>
  <si>
    <t>Ines Ecima</t>
  </si>
  <si>
    <t>Rectoria@icsed.esu.co</t>
  </si>
  <si>
    <t>Universidade Federal da Bahia</t>
  </si>
  <si>
    <t>cma.sumai@ufba.br</t>
  </si>
  <si>
    <t>200.126.18.239</t>
  </si>
  <si>
    <t>R_6jPOObPo4DBMgcY</t>
  </si>
  <si>
    <t>Escola de Governo Professor Paulo Neves de Carvalho/Fundação João Pinheiro</t>
  </si>
  <si>
    <t>Kamila Pagel</t>
  </si>
  <si>
    <t>kamila.oliveira@fjp.mg.gov.br</t>
  </si>
  <si>
    <t>(31)34489713/14</t>
  </si>
  <si>
    <t>Parabéns pelo excelente trabalho. Sugestão que os resultados sejam apresentados às instituições que responderam ao estudo, bem como apresentar quais ações serão implementadas a partir da análise dos resultados da pesquisa.</t>
  </si>
  <si>
    <t>88.1.59.159</t>
  </si>
  <si>
    <t>R_87IFU0jcy6a1qMN</t>
  </si>
  <si>
    <t>Universidad Marista de San Luis Potosí</t>
  </si>
  <si>
    <t>Karla Penéloppe Encinas Ramírez</t>
  </si>
  <si>
    <t>kencinas@umaslp.maristas.edu.mx</t>
  </si>
  <si>
    <t>Ninguno, gracias.</t>
  </si>
  <si>
    <t>186.136.179.181</t>
  </si>
  <si>
    <t>R_7DGk7o50ZiorJWF</t>
  </si>
  <si>
    <t>Universidad Externado de Colombia</t>
  </si>
  <si>
    <t>Katherine Padilla Mosquera</t>
  </si>
  <si>
    <t>centrosostenibilidad@uexternado.edu.co</t>
  </si>
  <si>
    <t>3118404563</t>
  </si>
  <si>
    <t>179.60.242.69</t>
  </si>
  <si>
    <t>R_7ODDZFivp8k5uO1</t>
  </si>
  <si>
    <t>Instituto Federal de Mato Grosso - IFMT</t>
  </si>
  <si>
    <t>Lenoir Hoeckesfeld</t>
  </si>
  <si>
    <t>lenoir.hoeckesfeld@ifmt.edu.br</t>
  </si>
  <si>
    <t>66999131880</t>
  </si>
  <si>
    <t>R_5MN0JGDKDfIDZ3d</t>
  </si>
  <si>
    <t>Instituto Federal de Educação, Ciência e Tecnologia do Triângulo Mineiro</t>
  </si>
  <si>
    <t>Marcos Botta / Humberto Minéu</t>
  </si>
  <si>
    <t>dgi@iftm.edu.br / sustentabilidade.rei@iftm.edu.br</t>
  </si>
  <si>
    <t>168.181.48.27</t>
  </si>
  <si>
    <t>R_10ugWyiN1d3rYdp</t>
  </si>
  <si>
    <t>Universidad Tecnológica de San Juan del Río</t>
  </si>
  <si>
    <t>María Angélica Luján Vega</t>
  </si>
  <si>
    <t>alujanv@utsjr.edu.mx</t>
  </si>
  <si>
    <t>4271292000</t>
  </si>
  <si>
    <t>84.125.155.3</t>
  </si>
  <si>
    <t>R_8O9BgdOK4EjqRdT</t>
  </si>
  <si>
    <t>Universidad Católica de Santa Fe</t>
  </si>
  <si>
    <t>Mileva Chialvo</t>
  </si>
  <si>
    <t>mileva.chialvo@ucsf.edu.ar</t>
  </si>
  <si>
    <t>los valores indicados en 0 corresponden a que no contamos con esa información.</t>
  </si>
  <si>
    <t>148.234.96.131</t>
  </si>
  <si>
    <t>R_6hFH3IM2TwOCJWx</t>
  </si>
  <si>
    <t>Universidad Antonio Ruiz de Montoya</t>
  </si>
  <si>
    <t>Mónica Yurlissa Lovera Quesñay</t>
  </si>
  <si>
    <t>monica.lovera@uarm.pe, rsu@uarm.pe</t>
  </si>
  <si>
    <t>511) 719-5990, Anexo 1401, 1402 / +51 998 733 114</t>
  </si>
  <si>
    <t>Ninguno.</t>
  </si>
  <si>
    <t>193.146.109.44</t>
  </si>
  <si>
    <t>R_8S1fyBQw3conzsy</t>
  </si>
  <si>
    <t>Universidad de Guadalajara</t>
  </si>
  <si>
    <t>Mtra. Celina Díaz Michel</t>
  </si>
  <si>
    <t>celina.diaz@udg.mx</t>
  </si>
  <si>
    <t>[52] (33) 3134 2214</t>
  </si>
  <si>
    <t>201.234.69.97</t>
  </si>
  <si>
    <t>R_7OibRduA4fMvY7n</t>
  </si>
  <si>
    <t>Universidad de Flores</t>
  </si>
  <si>
    <t>Natalia Arias</t>
  </si>
  <si>
    <t>natalia.arias@uflouniversidad.edu.ar</t>
  </si>
  <si>
    <t>200.133.17.58</t>
  </si>
  <si>
    <t>R_1sji7xawHv03QYw</t>
  </si>
  <si>
    <t>IFPR - INSTITUTO FEDERAL DO PARANÁ</t>
  </si>
  <si>
    <t>Nilton Ferreira Brandão</t>
  </si>
  <si>
    <t>nilton.brandao@ifpr.edu.br</t>
  </si>
  <si>
    <t>41920030635</t>
  </si>
  <si>
    <t>62.97.125.35</t>
  </si>
  <si>
    <t>R_87wbmAGbwWtVzfr</t>
  </si>
  <si>
    <t>Universidad de Zaragoza</t>
  </si>
  <si>
    <t>Paloma Ibarra Benlloch</t>
  </si>
  <si>
    <t>pibarra@unizar.es</t>
  </si>
  <si>
    <t>34 673213155</t>
  </si>
  <si>
    <t>Con la experiencia y el seguimiento de indicadores recogidos en los informes de progreso en sostenibilidad de los últimos años, estamos trabajando en un plan de sostenibilidad que verá la luz en 2026 integrado en el Plan Estratégico de la Universidad en el que se está trabajando ya intensamente. Cuando sea una realidad, muchas de las respuestas variarán a mejor.</t>
  </si>
  <si>
    <t>190.171.134.90</t>
  </si>
  <si>
    <t>R_6Tvo0Fjrx64AIwI</t>
  </si>
  <si>
    <t>Santo Tomás</t>
  </si>
  <si>
    <t>Reynaldo Cabezas Cifuentes</t>
  </si>
  <si>
    <t>rcabezasc@santotomas.cl</t>
  </si>
  <si>
    <t>190.232.101.135</t>
  </si>
  <si>
    <t>R_76lN5Ctc5FTmOTJ</t>
  </si>
  <si>
    <t>Universidad de Chile</t>
  </si>
  <si>
    <t>Rocío Riquelme</t>
  </si>
  <si>
    <t>rocioriquelme@uchile.cl</t>
  </si>
  <si>
    <t>En aquellos ítems en que se solicita indicar variábles numéricas, se marcó "0" para aquellos casos en que no se cuenta con dicha información.</t>
  </si>
  <si>
    <t>179.6.7.111</t>
  </si>
  <si>
    <t>R_31js1UNgzhIhHXz</t>
  </si>
  <si>
    <t>Universidad Politécnica de Juventino Rosas</t>
  </si>
  <si>
    <t>Virginia Macías Girón</t>
  </si>
  <si>
    <t>planeacion@upjr.edu.mx</t>
  </si>
  <si>
    <t>412 157 80 00 Ext. 250</t>
  </si>
  <si>
    <t>181.65.106.222</t>
  </si>
  <si>
    <t>R_1PKMbra5vHCLtT3</t>
  </si>
  <si>
    <t>Universidad a Distancia de Madrid (UDIMA)</t>
  </si>
  <si>
    <t>R_1DSIzANsZJBnv6R</t>
  </si>
  <si>
    <t>Universidad de Almería (UAL)</t>
  </si>
  <si>
    <t>R_1luKnjk98iDbyEv</t>
  </si>
  <si>
    <t>Universidad Politécnica de Cartagena (UPCT)</t>
  </si>
  <si>
    <t>Gerencia</t>
  </si>
  <si>
    <t>177.174.96.2</t>
  </si>
  <si>
    <t>R_7OGqHrsAH14O9e1</t>
  </si>
  <si>
    <t>Universidad Pontificia de Salamanca (UPSA)</t>
  </si>
  <si>
    <t>Universitat Oberta de Catalunya (UOC)</t>
  </si>
  <si>
    <t>200.131.123.253</t>
  </si>
  <si>
    <t>R_63DMLqYl59oaVfX</t>
  </si>
  <si>
    <t>Instituto Federal de Educação, Ciência e Tecnologia do Amapá</t>
  </si>
  <si>
    <t>catiano.gama@ifap.edu.br</t>
  </si>
  <si>
    <t>A geração da Pegada de Carbono está prevista na versão 2.0 do PLS do IFAP e já no primeiro semestre de 2026 será dado início na construção do Inventário dos gases de efeito estufas produzidos direta e indiretamente pela Instituição. Referente ao orçamento Institucional destinado exclusivamente a demanda ambientais, está sendo debatido dentro do forum de gestores o atendimento ainda na LOA de 2026.</t>
  </si>
  <si>
    <t>186.40.96.102</t>
  </si>
  <si>
    <t>R_5BsWvayGnWAf36F</t>
  </si>
  <si>
    <t>Instituto Tecnológico y de Estudios Superiores de Monterrey</t>
  </si>
  <si>
    <t>Karina Ruiz</t>
  </si>
  <si>
    <t>karinam.ruiza@tec.mx</t>
  </si>
  <si>
    <t>45.5.189.225</t>
  </si>
  <si>
    <t>R_18LMdAX1cx4ZE1h</t>
  </si>
  <si>
    <t>Universidad Austral</t>
  </si>
  <si>
    <t>Maria Veronica Torres Cerino</t>
  </si>
  <si>
    <t>mtorres@cas.austral.edu.ar</t>
  </si>
  <si>
    <t>541155154985</t>
  </si>
  <si>
    <t>me gustaria que se pudiera volver atras para corregir una respuesta cuyo dato no tenia al momento de empezarla</t>
  </si>
  <si>
    <t>201.96.94.158</t>
  </si>
  <si>
    <t>R_5Uiq8EiFBCcrjUl</t>
  </si>
  <si>
    <t>Universidad Autónoma de Nuevo León</t>
  </si>
  <si>
    <t>Sergio Fernández Delgadillo</t>
  </si>
  <si>
    <t>sergio.fernandez@uanl.mx</t>
  </si>
  <si>
    <t>79.116.112.29</t>
  </si>
  <si>
    <t>R_8KetADwBHfzyuhy</t>
  </si>
  <si>
    <t>Universidad Autónoma de Occidente</t>
  </si>
  <si>
    <t>Stefania Martínez Iles</t>
  </si>
  <si>
    <t>smartinezi@uao.edu.co</t>
  </si>
  <si>
    <t>602 3188000 ext.11835</t>
  </si>
  <si>
    <t>181.92.228.121</t>
  </si>
  <si>
    <t>R_1EhrYvGwmVpzRst</t>
  </si>
  <si>
    <t>Universidad Bernardo O'Higgins</t>
  </si>
  <si>
    <t>Margarita Marín Guzmán</t>
  </si>
  <si>
    <t>margarita.marin@ubo.cl</t>
  </si>
  <si>
    <t>146.83.128.187</t>
  </si>
  <si>
    <t>R_7nuclSIlGILavqP</t>
  </si>
  <si>
    <t>UNIVERSIDAD CARLOS III DE MADRID</t>
  </si>
  <si>
    <t>rutmorat@pa.uc3m.es</t>
  </si>
  <si>
    <t>Los datos de el número de estudiantes matriculados en modalidad virtual o semipresencial, no son exactos porque no me los han podido facilitar y puede haber cierta desviación. Lo mismo sucede con el dato de presupuesto ambiental.</t>
  </si>
  <si>
    <t>87.220.61.239</t>
  </si>
  <si>
    <t>R_2chF0OUorFBbK8c</t>
  </si>
  <si>
    <t>UNIVERSIDAD CATÓLICA DE ÁVILA (UCAV)</t>
  </si>
  <si>
    <t>arturo.mancebo@ucavila.es</t>
  </si>
  <si>
    <t>920251020</t>
  </si>
  <si>
    <t>190.192.142.137</t>
  </si>
  <si>
    <t>R_7CwAW07nMDtKZOr</t>
  </si>
  <si>
    <t>Universidad de Burgos</t>
  </si>
  <si>
    <t>Miguel Angel Mariscal Saldaña</t>
  </si>
  <si>
    <t>vic.empresacampus@ubu.es</t>
  </si>
  <si>
    <t>606175334</t>
  </si>
  <si>
    <t>R_63enCLAOIC9Cwmt</t>
  </si>
  <si>
    <t>Universidad de Oviedo</t>
  </si>
  <si>
    <t>Inés Peñuelas Sánchez</t>
  </si>
  <si>
    <t>vice.sostenibilidad@uniovi.es</t>
  </si>
  <si>
    <t>R_6gpX9jhKXFCXyYk</t>
  </si>
  <si>
    <t>Universidad del País Vasco/Euskal Herriko Unibertsitatea (UPV / EHU)</t>
  </si>
  <si>
    <t>181.229.250.31</t>
  </si>
  <si>
    <t>R_7Jmqx02u8gRInKx</t>
  </si>
  <si>
    <t>Universidad EAFIT</t>
  </si>
  <si>
    <t>Maria Paula Castro Hoyos</t>
  </si>
  <si>
    <t>mpcastroh@eafit.edu.co</t>
  </si>
  <si>
    <t>3137700739</t>
  </si>
  <si>
    <t>Universidad Tecnológica Metropolitana</t>
  </si>
  <si>
    <t>Javiera Rocha Cortés</t>
  </si>
  <si>
    <t>javiera.rochac@utem.cl</t>
  </si>
  <si>
    <t>Universidade de Santiago de Compostela</t>
  </si>
  <si>
    <t>Rubén Regueira Gay</t>
  </si>
  <si>
    <t>centro.datos@usc.gal</t>
  </si>
  <si>
    <t>881 811 285</t>
  </si>
  <si>
    <t>Universidade Federal de Mato Grosso do Sul - UFMS</t>
  </si>
  <si>
    <t>dides.procids@ufms.br</t>
  </si>
  <si>
    <t>67-981260661</t>
  </si>
  <si>
    <t>Universitat de Vic - Universitat Central de Catalunya</t>
  </si>
  <si>
    <t>Núria Gorchs - Secretària General</t>
  </si>
  <si>
    <t>secretaria.general@uvic.cat</t>
  </si>
  <si>
    <t>Secretaria General</t>
  </si>
  <si>
    <t>Los datos del presupuesto ambiental institucional son del curso académico 23-24.</t>
  </si>
  <si>
    <t>Unoiversitat Poliècnica de València</t>
  </si>
  <si>
    <t>Cristina Martí Barranco</t>
  </si>
  <si>
    <t>medioambiente@upv.es</t>
  </si>
  <si>
    <t>#ERROR!</t>
  </si>
  <si>
    <t>Otro</t>
  </si>
  <si>
    <t>Latitud</t>
  </si>
  <si>
    <t>Longitud</t>
  </si>
  <si>
    <t>Secretaria Del Vicerrectorado De Relaciones Institucionales Y Coordinación</t>
  </si>
  <si>
    <t>Arthur Vieira De Lima</t>
  </si>
  <si>
    <t>Erwin Garcia</t>
  </si>
  <si>
    <t>Sebastián Pérez Bannen</t>
  </si>
  <si>
    <t>Ruth Moratilla Torrico</t>
  </si>
  <si>
    <t>Linda Cristal Nava López</t>
  </si>
  <si>
    <t>Antonio Ruiz Cruz</t>
  </si>
  <si>
    <t>Fernando Antonio Moron Polo</t>
  </si>
  <si>
    <t>Rossana Miranda North</t>
  </si>
  <si>
    <t>Ines Evaristo Chiyong</t>
  </si>
  <si>
    <t>Dña. Ruth Campos García, Vicerrectora De Compromiso Social Y Cultura.</t>
  </si>
  <si>
    <t>Dr. Pablo Marinangeli</t>
  </si>
  <si>
    <t>Carlos Henrique De Carvalho</t>
  </si>
  <si>
    <t>Alfredo Sepulveda</t>
  </si>
  <si>
    <t>Arturo Mancebo</t>
  </si>
  <si>
    <t>Albeiro Monsalve Marin</t>
  </si>
  <si>
    <t>Saida Padron Simon</t>
  </si>
  <si>
    <t>Ana Mosquera</t>
  </si>
  <si>
    <t>João Paulo Silveira De Almeida</t>
  </si>
  <si>
    <t>Catiano Da Silva Gama</t>
  </si>
  <si>
    <t>Mireia De Mingo</t>
  </si>
  <si>
    <t>Tamara Simone Van Kaick</t>
  </si>
  <si>
    <t>José Antonio Lobo Dos Santos</t>
  </si>
  <si>
    <t>Leonardo Chaves De Carvalho</t>
  </si>
  <si>
    <t>correo</t>
  </si>
  <si>
    <t>contacto</t>
  </si>
  <si>
    <t>institucion</t>
  </si>
  <si>
    <t>Dirección De Planificación Y Aseguramiento De La Calidad</t>
  </si>
  <si>
    <t>Vicerrectorado De Infraestructuras Y Sostenibilidad. Unidad De Calidad Ambiental</t>
  </si>
  <si>
    <t>Vicerrectorado De Relaciones Institucionales Y Coordinación</t>
  </si>
  <si>
    <t>Dirección De Sostenibilidad</t>
  </si>
  <si>
    <t>Vr. Sostenibilidad Y Espacios</t>
  </si>
  <si>
    <t>Secretaria De Extensión Universitaria</t>
  </si>
  <si>
    <t>Vicerrector/A Con Competencias En Sostenibilidad</t>
  </si>
  <si>
    <t>Sostenibilidad Esg</t>
  </si>
  <si>
    <t>Assessoria Ambiental Do Ifpe (Assam)</t>
  </si>
  <si>
    <t>Centro De Sostenibilidad</t>
  </si>
  <si>
    <t>Responsable De Sostenibilidad/Ods/Rsc</t>
  </si>
  <si>
    <t>Compromiso Social</t>
  </si>
  <si>
    <t>Dirección General De Vinculación Con El Medio</t>
  </si>
  <si>
    <t>Unidad De Cooperación Y Desarrollo Sostenible</t>
  </si>
  <si>
    <t>Dirección De Sostenibilidad/ Vicerrectoría De Vinculación Con El Medio Y Alumni</t>
  </si>
  <si>
    <t>Secretaría De Sustentabilidad</t>
  </si>
  <si>
    <t>Rectorado. Director De Relaciones Institucionales</t>
  </si>
  <si>
    <t>Programa Educativo Agricultura Sustentable Y Protegido</t>
  </si>
  <si>
    <t>Área De Sostenibilidad</t>
  </si>
  <si>
    <t>Dirección De Planeación Y Responsabilidad Social</t>
  </si>
  <si>
    <t>Directora Del Observatorio De Sostenibilidad</t>
  </si>
  <si>
    <t>Semas</t>
  </si>
  <si>
    <t>Secretaria De Planeamiento Y Relaciones Institucionales</t>
  </si>
  <si>
    <t>Departamento De Sustentabilidad, Dirección General De Vinculación Con El Medio</t>
  </si>
  <si>
    <t>Jefe De Gabinete Del Rector De La Universidad De Valladolid</t>
  </si>
  <si>
    <t>Dirección De Abastecimiento Y Servicios</t>
  </si>
  <si>
    <t>Comite De Ambiente Y Desarrollo Sostenible</t>
  </si>
  <si>
    <t>Oficina De Responsabilidad Socioambiental Universitaria</t>
  </si>
  <si>
    <t>Vicerrectorado De Sostenibilidad Y Digitalización</t>
  </si>
  <si>
    <t>Secretaría Ejecutiva Comité Por La Sustentabilidad - Prorrectoría.</t>
  </si>
  <si>
    <t>Coordinación De Sostenibilidad</t>
  </si>
  <si>
    <t>Vicerrectorado De Empresa Campus Y Digitalización</t>
  </si>
  <si>
    <t>Gerencia De Inclusion, Sostenibilidad Y Responsabilidad Social</t>
  </si>
  <si>
    <t>Vicerrectorado De Compromiso Social Y Cultura</t>
  </si>
  <si>
    <t>Responsable De Grupo Sostenibilidad Y Agenda 2030</t>
  </si>
  <si>
    <t>Vicerrectorado De Infraestructuras Y Sostenibilidad</t>
  </si>
  <si>
    <t>Diretoria De Relações Institucionais E Articulação</t>
  </si>
  <si>
    <t>Gerencia De Sostenibilidad</t>
  </si>
  <si>
    <t>Área De Sostenibilidad Y Calidad Ambiental</t>
  </si>
  <si>
    <t>Docente De Responsabilidad Social - Fce</t>
  </si>
  <si>
    <t>Oficina De Sostenibilidad. Vicerrectorado De Sostenibilidad Y Cultura</t>
  </si>
  <si>
    <t>Dirección De Gestión De La Calidad</t>
  </si>
  <si>
    <t>Dirección De Sustentabilidad</t>
  </si>
  <si>
    <t>Jefatura De Sostenibilidad</t>
  </si>
  <si>
    <t>Instituto De Estudios Para La Sostenibilidad</t>
  </si>
  <si>
    <t>Unidad De Sostenibilidad</t>
  </si>
  <si>
    <t>Prodin / Diretoria De Governança Institucional / Coordenação De Sustentabilidade</t>
  </si>
  <si>
    <t>Dirección De Sostenibilidad Y Gestión Ambiental</t>
  </si>
  <si>
    <t>Dirección De Innovación, Vinculación Y Sostenibilidad</t>
  </si>
  <si>
    <t>Centro De Ética Y Gestión Sostenible De A Universidad Del Pacífico</t>
  </si>
  <si>
    <t>Dirección Académica De Responsabilidad Social (Dars)</t>
  </si>
  <si>
    <t>Oficina De Sostenibilidad Universitaria</t>
  </si>
  <si>
    <t>Secretaria General De Relaciones Institucionales Y Planeamiento</t>
  </si>
  <si>
    <t>Planeación Y Evaluacio</t>
  </si>
  <si>
    <t>Dirección De Estrategia</t>
  </si>
  <si>
    <t>Diretoria De Desenvolvimento Institucional</t>
  </si>
  <si>
    <t>Oficina Verde - Vicerrectorado De Cultura, Patrimonio, Sostenibilidad Y Desarrollo De Campus</t>
  </si>
  <si>
    <t>Vicerrectorado De Calidad, Igualdad Y Responsabilidad Social</t>
  </si>
  <si>
    <t>Prosecretaria De Políticas De Gestión Ambiental</t>
  </si>
  <si>
    <t>Rector/A</t>
  </si>
  <si>
    <t>Coordinador General De Desarrollo Sustentable</t>
  </si>
  <si>
    <t>Gerencia De Gestión De Calidad</t>
  </si>
  <si>
    <t>Gabinete Do Reitor</t>
  </si>
  <si>
    <t>Dirección De Proyección Social Y Engagement - Coordinación De Sostenibilidad</t>
  </si>
  <si>
    <t>Dirección De Responsabilidad Social</t>
  </si>
  <si>
    <t>Departamento De Servicios Y Obras</t>
  </si>
  <si>
    <t>Dedin/Disai</t>
  </si>
  <si>
    <t>Direccion De Administracion Y Operaciones</t>
  </si>
  <si>
    <t>Rectoría General Up-Ipade</t>
  </si>
  <si>
    <t>Diretor Sistêmico De Planejamento E Relações Estratégicas</t>
  </si>
  <si>
    <t>Escritório De Sustentabilidade</t>
  </si>
  <si>
    <t>Coordinación De Pastoral Y Sentidos De Vida</t>
  </si>
  <si>
    <t>Oficina De Sustentabilidad- Prorrectoría</t>
  </si>
  <si>
    <t>Instituto De Estudios Para La Sustentabilidad (Sistema Cetys)</t>
  </si>
  <si>
    <t>Assessoria De Extensão</t>
  </si>
  <si>
    <t>Dirección De Sostenibilidad E Impacto Social</t>
  </si>
  <si>
    <t>Dirección De Vinculación Social Y Sostenibilidad</t>
  </si>
  <si>
    <t>Otaccac Y Rankings</t>
  </si>
  <si>
    <t>Upb Sostenible</t>
  </si>
  <si>
    <t>Vicerrectoría De Extensión</t>
  </si>
  <si>
    <t>Departamento De Planeación</t>
  </si>
  <si>
    <t>Equipo Directivo Y Vicerrectoría De Calidad</t>
  </si>
  <si>
    <t>Departamento De Sostenibilidad</t>
  </si>
  <si>
    <t>Coordenadoria De Sustentabilidade</t>
  </si>
  <si>
    <t>Subdirección De Planeación Y Presupuesto</t>
  </si>
  <si>
    <t>Diretora Da Escola De Governo Professor Paulo Neves De Carvalho</t>
  </si>
  <si>
    <t>Dirección De Extensión Universitaria</t>
  </si>
  <si>
    <t>Departamento De Governança Risco E Relações Estratégica</t>
  </si>
  <si>
    <t>Coordinación General De Planeación</t>
  </si>
  <si>
    <t>Gerência De Campus</t>
  </si>
  <si>
    <t>Vicerectorat De Relacions Internacionals, Solidaritat I Justícia Global</t>
  </si>
  <si>
    <t>Núcleo De Meio Ambiente - Nuamb</t>
  </si>
  <si>
    <t>Coordenadoria De Planejamento E Sustentabilidade - Diretoria De Planejamento, Resultados E Sustentabilidade - Pró-Reitoria De Planejamento E Administração (Cps/Dprs/Proplad)</t>
  </si>
  <si>
    <t>Gabinet D'Innovació I Comunitat</t>
  </si>
  <si>
    <t>Assessoria De Sustentabilidade</t>
  </si>
  <si>
    <t>Pró-Reitoria De Infraestrutura (Proinfra)</t>
  </si>
  <si>
    <t>Secretaria Integrada De Gestão Ambiental</t>
  </si>
  <si>
    <t>Coordinación Universitaria Para La Sustentabilidad</t>
  </si>
  <si>
    <t>Semas - Secretaria Do Meio Ambiente E Sustentabilidade</t>
  </si>
  <si>
    <t>Diretoria De Planejamento - Pró-Reitoria De Planejamento E Avaliação (Propav)</t>
  </si>
  <si>
    <t>Superintendência De Meio Ambiente E Infraestrutura</t>
  </si>
  <si>
    <t>Programa De Sustentabilidad</t>
  </si>
  <si>
    <t>Centro De Datos E Procesos</t>
  </si>
  <si>
    <t>Diretoria De Sustentabilidade</t>
  </si>
  <si>
    <t>Unidad De Medio Ambiente</t>
  </si>
  <si>
    <t>Rectoría</t>
  </si>
  <si>
    <t>departamento</t>
  </si>
  <si>
    <t>telefono</t>
  </si>
  <si>
    <t>51994113349</t>
  </si>
  <si>
    <t>56982592522</t>
  </si>
  <si>
    <t>34 644 520 696</t>
  </si>
  <si>
    <t>34 916245998</t>
  </si>
  <si>
    <t>56 9 9542 5302</t>
  </si>
  <si>
    <t>56934108331</t>
  </si>
  <si>
    <t>56 9 7912 6885</t>
  </si>
  <si>
    <t>593963314736</t>
  </si>
  <si>
    <t>34 670622366, +34 923294500, Ext. 1250</t>
  </si>
  <si>
    <t>593994436801</t>
  </si>
  <si>
    <t>57 3192250330</t>
  </si>
  <si>
    <t>56983052644</t>
  </si>
  <si>
    <t>34 917091400</t>
  </si>
  <si>
    <t>55 981039837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</si>
</sst>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dd/mm/yyyy\ h:mm"/>
    <numFmt numFmtId="166" formatCode="#,##0.0000000"/>
    <numFmt numFmtId="167" formatCode="d/m/yyyy\ h:mm"/>
  </numFmts>
  <fonts count="4" x14ac:knownFonts="1">
    <font>
      <sz val="11"/>
      <color rgb="FF000000"/>
      <name val="Aptos Narrow"/>
      <scheme val="minor"/>
    </font>
    <font>
      <sz val="10"/>
      <color rgb="FF000000"/>
      <name val="Abadi ExtraLight"/>
      <family val="2"/>
    </font>
    <font>
      <sz val="10"/>
      <color theme="1"/>
      <name val="Abadi ExtraLight"/>
      <family val="2"/>
    </font>
    <font>
      <u/>
      <sz val="10"/>
      <color rgb="FF000000"/>
      <name val="Abadi ExtraLight"/>
      <family val="2"/>
    </font>
  </fonts>
  <fills count="6">
    <fill>
      <patternFill patternType="none"/>
    </fill>
    <fill>
      <patternFill patternType="gray125"/>
    </fill>
    <fill>
      <patternFill patternType="solid">
        <fgColor rgb="FFC0C0C0"/>
        <bgColor rgb="FFC0C0C0"/>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164"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3" fontId="1" fillId="0" borderId="0" xfId="0" applyNumberFormat="1" applyFont="1" applyAlignment="1">
      <alignment horizontal="center" vertical="center" wrapText="1"/>
    </xf>
    <xf numFmtId="22" fontId="1" fillId="0" borderId="0" xfId="0" applyNumberFormat="1" applyFont="1" applyAlignment="1">
      <alignment horizontal="center" vertical="center" wrapText="1"/>
    </xf>
    <xf numFmtId="0" fontId="2" fillId="0" borderId="0" xfId="0" applyFont="1" applyAlignment="1">
      <alignment horizontal="center" vertical="center" wrapText="1"/>
    </xf>
    <xf numFmtId="49" fontId="1" fillId="0" borderId="0" xfId="0" quotePrefix="1" applyNumberFormat="1" applyFont="1" applyAlignment="1">
      <alignment horizontal="center" vertical="center" wrapText="1"/>
    </xf>
    <xf numFmtId="166" fontId="1" fillId="0" borderId="0" xfId="0" applyNumberFormat="1" applyFont="1" applyAlignment="1">
      <alignment horizontal="center" vertical="center" wrapText="1"/>
    </xf>
    <xf numFmtId="167" fontId="1" fillId="0" borderId="0" xfId="0" applyNumberFormat="1" applyFont="1" applyAlignment="1">
      <alignment horizontal="center" vertical="center" wrapText="1"/>
    </xf>
    <xf numFmtId="11" fontId="1" fillId="0" borderId="0" xfId="0" applyNumberFormat="1" applyFont="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1" fillId="5" borderId="0" xfId="0" applyFont="1" applyFill="1" applyAlignment="1">
      <alignment horizontal="center" vertical="center" wrapText="1"/>
    </xf>
    <xf numFmtId="10" fontId="1" fillId="5" borderId="0" xfId="0" applyNumberFormat="1" applyFont="1" applyFill="1" applyAlignment="1">
      <alignment horizontal="center" vertical="center" wrapText="1"/>
    </xf>
    <xf numFmtId="2" fontId="1" fillId="5" borderId="0" xfId="0" applyNumberFormat="1" applyFont="1" applyFill="1" applyAlignment="1">
      <alignment horizontal="center" vertical="center" wrapText="1"/>
    </xf>
    <xf numFmtId="166" fontId="1" fillId="5" borderId="0" xfId="0" applyNumberFormat="1" applyFont="1" applyFill="1" applyAlignment="1">
      <alignment horizontal="center" vertical="center" wrapText="1"/>
    </xf>
    <xf numFmtId="49" fontId="1" fillId="5" borderId="0" xfId="0" applyNumberFormat="1" applyFont="1" applyFill="1" applyAlignment="1">
      <alignment horizontal="center" vertical="center" wrapText="1"/>
    </xf>
    <xf numFmtId="49"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Y998"/>
  <sheetViews>
    <sheetView tabSelected="1" topLeftCell="BQ1" workbookViewId="0">
      <selection activeCell="CE9" sqref="CE9"/>
    </sheetView>
  </sheetViews>
  <sheetFormatPr baseColWidth="10" defaultColWidth="12.5703125" defaultRowHeight="15" customHeight="1" x14ac:dyDescent="0.25"/>
  <cols>
    <col min="1" max="1" width="17.7109375" style="3" customWidth="1"/>
    <col min="2" max="2" width="21.7109375" style="3" customWidth="1"/>
    <col min="3" max="3" width="15.28515625" style="3" customWidth="1"/>
    <col min="4" max="4" width="32" style="3" customWidth="1"/>
    <col min="5" max="5" width="15.28515625" style="3" customWidth="1"/>
    <col min="6" max="6" width="14.140625" style="3" customWidth="1"/>
    <col min="7" max="8" width="23.7109375" style="3" customWidth="1"/>
    <col min="9" max="9" width="10" style="3" customWidth="1"/>
    <col min="10" max="10" width="16.7109375" style="3" customWidth="1"/>
    <col min="11" max="11" width="14.28515625" style="3" customWidth="1"/>
    <col min="12" max="12" width="50.28515625" style="3" customWidth="1"/>
    <col min="13" max="13" width="34.28515625" style="3" customWidth="1"/>
    <col min="14" max="14" width="22.5703125" style="3" customWidth="1"/>
    <col min="15" max="15" width="48.140625" style="3" customWidth="1"/>
    <col min="16" max="16" width="17.42578125" style="3" customWidth="1"/>
    <col min="17" max="24" width="9.140625" style="3" customWidth="1"/>
    <col min="25" max="25" width="13.140625" style="3" customWidth="1"/>
    <col min="26" max="29" width="9.140625" style="3" customWidth="1"/>
    <col min="30" max="30" width="16.42578125" style="3" customWidth="1"/>
    <col min="31" max="31" width="9.140625" style="3" customWidth="1"/>
    <col min="32" max="32" width="16.5703125" style="3" customWidth="1"/>
    <col min="33" max="33" width="14.140625" style="3" customWidth="1"/>
    <col min="34" max="34" width="15.140625" style="3" customWidth="1"/>
    <col min="35" max="88" width="9.140625" style="3" customWidth="1"/>
    <col min="89" max="89" width="19.5703125" style="3" customWidth="1"/>
    <col min="90" max="90" width="72.140625" style="3" customWidth="1"/>
    <col min="91" max="93" width="30.28515625" style="3" customWidth="1"/>
    <col min="94" max="94" width="30.28515625" style="3" hidden="1" customWidth="1"/>
    <col min="95" max="155" width="9.140625" style="3" customWidth="1"/>
    <col min="156" max="16384" width="12.5703125" style="3"/>
  </cols>
  <sheetData>
    <row r="1" spans="1:155" ht="20.25" customHeight="1" x14ac:dyDescent="0.25">
      <c r="A1" s="1" t="s">
        <v>0</v>
      </c>
      <c r="B1" s="1" t="s">
        <v>1</v>
      </c>
      <c r="C1" s="1" t="s">
        <v>2</v>
      </c>
      <c r="D1" s="1" t="s">
        <v>3</v>
      </c>
      <c r="E1" s="1" t="s">
        <v>4</v>
      </c>
      <c r="F1" s="1" t="s">
        <v>5</v>
      </c>
      <c r="G1" s="1" t="s">
        <v>6</v>
      </c>
      <c r="H1" s="1" t="s">
        <v>7</v>
      </c>
      <c r="I1" s="1" t="s">
        <v>872</v>
      </c>
      <c r="J1" s="1" t="s">
        <v>873</v>
      </c>
      <c r="K1" s="1" t="s">
        <v>8</v>
      </c>
      <c r="L1" s="1" t="s">
        <v>900</v>
      </c>
      <c r="M1" s="1" t="s">
        <v>899</v>
      </c>
      <c r="N1" s="1" t="s">
        <v>898</v>
      </c>
      <c r="O1" s="1" t="s">
        <v>1007</v>
      </c>
      <c r="P1" s="1" t="s">
        <v>1008</v>
      </c>
      <c r="Q1" s="1" t="s">
        <v>9</v>
      </c>
      <c r="R1" s="1" t="s">
        <v>10</v>
      </c>
      <c r="S1" s="1" t="s">
        <v>11</v>
      </c>
      <c r="T1" s="1" t="s">
        <v>12</v>
      </c>
      <c r="U1" s="1" t="s">
        <v>13</v>
      </c>
      <c r="V1" s="1" t="s">
        <v>14</v>
      </c>
      <c r="W1" s="1" t="s">
        <v>15</v>
      </c>
      <c r="X1" s="1" t="s">
        <v>16</v>
      </c>
      <c r="Y1" s="1" t="s">
        <v>17</v>
      </c>
      <c r="Z1" s="1" t="s">
        <v>18</v>
      </c>
      <c r="AA1" s="1" t="s">
        <v>19</v>
      </c>
      <c r="AB1" s="1" t="s">
        <v>20</v>
      </c>
      <c r="AC1" s="1" t="s">
        <v>21</v>
      </c>
      <c r="AD1" s="1" t="s">
        <v>22</v>
      </c>
      <c r="AE1" s="1" t="s">
        <v>23</v>
      </c>
      <c r="AF1" s="1" t="s">
        <v>24</v>
      </c>
      <c r="AG1" s="1" t="s">
        <v>25</v>
      </c>
      <c r="AH1" s="1" t="s">
        <v>26</v>
      </c>
      <c r="AI1" s="1" t="s">
        <v>27</v>
      </c>
      <c r="AJ1" s="1" t="s">
        <v>28</v>
      </c>
      <c r="AK1" s="1" t="s">
        <v>29</v>
      </c>
      <c r="AL1" s="1" t="s">
        <v>30</v>
      </c>
      <c r="AM1" s="1" t="s">
        <v>31</v>
      </c>
      <c r="AN1" s="1" t="s">
        <v>32</v>
      </c>
      <c r="AO1" s="1" t="s">
        <v>33</v>
      </c>
      <c r="AP1" s="1" t="s">
        <v>34</v>
      </c>
      <c r="AQ1" s="1" t="s">
        <v>35</v>
      </c>
      <c r="AR1" s="1" t="s">
        <v>36</v>
      </c>
      <c r="AS1" s="1" t="s">
        <v>37</v>
      </c>
      <c r="AT1" s="1" t="s">
        <v>38</v>
      </c>
      <c r="AU1" s="1" t="s">
        <v>39</v>
      </c>
      <c r="AV1" s="1" t="s">
        <v>40</v>
      </c>
      <c r="AW1" s="1" t="s">
        <v>41</v>
      </c>
      <c r="AX1" s="1" t="s">
        <v>42</v>
      </c>
      <c r="AY1" s="1" t="s">
        <v>43</v>
      </c>
      <c r="AZ1" s="1" t="s">
        <v>44</v>
      </c>
      <c r="BA1" s="1" t="s">
        <v>45</v>
      </c>
      <c r="BB1" s="1" t="s">
        <v>46</v>
      </c>
      <c r="BC1" s="1" t="s">
        <v>47</v>
      </c>
      <c r="BD1" s="1" t="s">
        <v>48</v>
      </c>
      <c r="BE1" s="1" t="s">
        <v>49</v>
      </c>
      <c r="BF1" s="1" t="s">
        <v>50</v>
      </c>
      <c r="BG1" s="1" t="s">
        <v>51</v>
      </c>
      <c r="BH1" s="1" t="s">
        <v>52</v>
      </c>
      <c r="BI1" s="1" t="s">
        <v>53</v>
      </c>
      <c r="BJ1" s="1" t="s">
        <v>54</v>
      </c>
      <c r="BK1" s="1" t="s">
        <v>55</v>
      </c>
      <c r="BL1" s="1" t="s">
        <v>56</v>
      </c>
      <c r="BM1" s="1" t="s">
        <v>57</v>
      </c>
      <c r="BN1" s="1" t="s">
        <v>58</v>
      </c>
      <c r="BO1" s="1" t="s">
        <v>59</v>
      </c>
      <c r="BP1" s="1" t="s">
        <v>60</v>
      </c>
      <c r="BQ1" s="1" t="s">
        <v>61</v>
      </c>
      <c r="BR1" s="1" t="s">
        <v>62</v>
      </c>
      <c r="BS1" s="1" t="s">
        <v>63</v>
      </c>
      <c r="BT1" s="1" t="s">
        <v>64</v>
      </c>
      <c r="BU1" s="1" t="s">
        <v>65</v>
      </c>
      <c r="BV1" s="1" t="s">
        <v>66</v>
      </c>
      <c r="BW1" s="1" t="s">
        <v>67</v>
      </c>
      <c r="BX1" s="1" t="s">
        <v>68</v>
      </c>
      <c r="BY1" s="1" t="s">
        <v>69</v>
      </c>
      <c r="BZ1" s="1" t="s">
        <v>70</v>
      </c>
      <c r="CA1" s="1" t="s">
        <v>71</v>
      </c>
      <c r="CB1" s="1" t="s">
        <v>72</v>
      </c>
      <c r="CC1" s="1" t="s">
        <v>73</v>
      </c>
      <c r="CD1" s="1" t="s">
        <v>74</v>
      </c>
      <c r="CE1" s="1" t="s">
        <v>75</v>
      </c>
      <c r="CF1" s="1" t="s">
        <v>76</v>
      </c>
      <c r="CG1" s="1" t="s">
        <v>77</v>
      </c>
      <c r="CH1" s="1" t="s">
        <v>78</v>
      </c>
      <c r="CI1" s="1" t="s">
        <v>79</v>
      </c>
      <c r="CJ1" s="1" t="s">
        <v>80</v>
      </c>
      <c r="CK1" s="1" t="s">
        <v>81</v>
      </c>
      <c r="CL1" s="2" t="s">
        <v>82</v>
      </c>
      <c r="CM1" s="2" t="s">
        <v>83</v>
      </c>
      <c r="CN1" s="2" t="s">
        <v>84</v>
      </c>
      <c r="CO1" s="2" t="s">
        <v>85</v>
      </c>
      <c r="CP1" s="2" t="s">
        <v>86</v>
      </c>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row>
    <row r="2" spans="1:155" ht="17.25" customHeight="1" x14ac:dyDescent="0.25">
      <c r="A2" s="10">
        <v>45930.888888888891</v>
      </c>
      <c r="B2" s="16">
        <v>45960.865277777775</v>
      </c>
      <c r="C2" s="3" t="s">
        <v>96</v>
      </c>
      <c r="D2" s="3" t="s">
        <v>336</v>
      </c>
      <c r="E2" s="3">
        <v>2593561</v>
      </c>
      <c r="F2" s="3" t="b">
        <v>1</v>
      </c>
      <c r="G2" s="16">
        <v>45960.865277777775</v>
      </c>
      <c r="H2" s="3" t="s">
        <v>337</v>
      </c>
      <c r="I2" s="3">
        <v>-33.452100000000002</v>
      </c>
      <c r="J2" s="3">
        <v>-70.653599999999997</v>
      </c>
      <c r="K2" s="3" t="s">
        <v>98</v>
      </c>
      <c r="L2" s="3" t="s">
        <v>338</v>
      </c>
      <c r="M2" s="3" t="s">
        <v>339</v>
      </c>
      <c r="N2" s="3" t="s">
        <v>340</v>
      </c>
      <c r="O2" s="3" t="s">
        <v>901</v>
      </c>
      <c r="P2" s="3">
        <v>997863214</v>
      </c>
      <c r="Q2" s="3" t="s">
        <v>117</v>
      </c>
      <c r="R2" s="3">
        <v>2006</v>
      </c>
      <c r="S2" s="3">
        <v>90</v>
      </c>
      <c r="T2" s="3">
        <v>5000</v>
      </c>
      <c r="U2" s="3">
        <v>600</v>
      </c>
      <c r="V2" s="3">
        <v>60</v>
      </c>
      <c r="W2" s="3" t="s">
        <v>118</v>
      </c>
      <c r="X2" s="3">
        <v>5</v>
      </c>
      <c r="Y2" s="3" t="s">
        <v>153</v>
      </c>
      <c r="Z2" s="3">
        <v>14</v>
      </c>
      <c r="AA2" s="3">
        <v>535</v>
      </c>
      <c r="AB2" s="3">
        <v>453</v>
      </c>
      <c r="AC2" s="3">
        <v>100</v>
      </c>
      <c r="AD2" s="3">
        <v>1750000</v>
      </c>
      <c r="AE2" s="3">
        <v>24</v>
      </c>
      <c r="AF2" s="3">
        <v>8223999</v>
      </c>
      <c r="AG2" s="3" t="s">
        <v>93</v>
      </c>
      <c r="AH2" s="3" t="s">
        <v>93</v>
      </c>
      <c r="AI2" s="3" t="s">
        <v>94</v>
      </c>
      <c r="AJ2" s="3" t="s">
        <v>93</v>
      </c>
      <c r="AK2" s="3" t="s">
        <v>93</v>
      </c>
      <c r="AL2" s="3" t="s">
        <v>93</v>
      </c>
      <c r="AM2" s="3" t="s">
        <v>93</v>
      </c>
      <c r="AN2" s="3" t="s">
        <v>93</v>
      </c>
      <c r="AO2" s="3" t="s">
        <v>93</v>
      </c>
      <c r="AP2" s="3" t="s">
        <v>93</v>
      </c>
      <c r="AQ2" s="3" t="s">
        <v>93</v>
      </c>
      <c r="AR2" s="3" t="s">
        <v>93</v>
      </c>
      <c r="AS2" s="3" t="s">
        <v>93</v>
      </c>
      <c r="AT2" s="3" t="s">
        <v>93</v>
      </c>
      <c r="AU2" s="3" t="s">
        <v>93</v>
      </c>
      <c r="AV2" s="3" t="s">
        <v>93</v>
      </c>
      <c r="AW2" s="3" t="s">
        <v>93</v>
      </c>
      <c r="AX2" s="3" t="s">
        <v>94</v>
      </c>
      <c r="AY2" s="3" t="s">
        <v>93</v>
      </c>
      <c r="AZ2" s="3" t="s">
        <v>93</v>
      </c>
      <c r="BA2" s="3" t="s">
        <v>93</v>
      </c>
      <c r="BB2" s="3" t="s">
        <v>93</v>
      </c>
      <c r="BC2" s="3">
        <v>3</v>
      </c>
      <c r="BD2" s="3">
        <v>3</v>
      </c>
      <c r="BE2" s="3">
        <v>2</v>
      </c>
      <c r="BF2" s="3">
        <v>2</v>
      </c>
      <c r="BG2" s="3">
        <v>4</v>
      </c>
      <c r="BH2" s="3">
        <v>4</v>
      </c>
      <c r="BI2" s="3">
        <v>4</v>
      </c>
      <c r="BJ2" s="3">
        <v>5</v>
      </c>
      <c r="BK2" s="3">
        <v>5</v>
      </c>
      <c r="BL2" s="3">
        <v>2</v>
      </c>
      <c r="BM2" s="3">
        <v>5</v>
      </c>
      <c r="BN2" s="3">
        <v>5</v>
      </c>
      <c r="BO2" s="3">
        <v>5</v>
      </c>
      <c r="BP2" s="3">
        <v>5</v>
      </c>
      <c r="BQ2" s="3">
        <v>4</v>
      </c>
      <c r="BR2" s="3">
        <v>4</v>
      </c>
      <c r="BS2" s="3">
        <v>4</v>
      </c>
      <c r="BT2" s="3">
        <v>4</v>
      </c>
      <c r="BU2" s="3">
        <v>2</v>
      </c>
      <c r="BV2" s="3">
        <v>5</v>
      </c>
      <c r="BW2" s="3">
        <v>5</v>
      </c>
      <c r="BX2" s="3">
        <v>5</v>
      </c>
      <c r="BY2" s="3">
        <v>5</v>
      </c>
      <c r="BZ2" s="3">
        <v>5</v>
      </c>
      <c r="CA2" s="3">
        <v>5</v>
      </c>
      <c r="CB2" s="3">
        <v>5</v>
      </c>
      <c r="CC2" s="3">
        <v>5</v>
      </c>
      <c r="CD2" s="3">
        <v>5</v>
      </c>
      <c r="CE2" s="3" t="s">
        <v>341</v>
      </c>
      <c r="CF2" s="3">
        <v>20</v>
      </c>
      <c r="CG2" s="3">
        <v>34</v>
      </c>
      <c r="CH2" s="3">
        <v>83</v>
      </c>
      <c r="CI2" s="6">
        <f>COUNTIF(AG2:BB2, "Dispone")/22</f>
        <v>0.90909090909090906</v>
      </c>
      <c r="CJ2" s="7">
        <f>AVERAGE(BC2:BL2)</f>
        <v>3.4</v>
      </c>
      <c r="CK2" s="15">
        <f>AVERAGE(BM2:CD2)</f>
        <v>4.6111111111111107</v>
      </c>
      <c r="CL2" s="9" t="str">
        <f>IF(AND(CI2&gt;50%, CJ2&gt;2.5, CK2&gt;2.5), "Compromiso", "")</f>
        <v>Compromiso</v>
      </c>
      <c r="CM2" s="9" t="str">
        <f>IF(AND(CI2&gt;75%, CJ2&gt;4, CK2&gt;4), "Liderazgo", "")</f>
        <v/>
      </c>
      <c r="CN2" s="9" t="str">
        <f>IF(AND(CI2&gt;90%, CJ2&gt;4.5, CK2&gt;4.5), "Transformación", "")</f>
        <v/>
      </c>
      <c r="CO2" s="9" t="s">
        <v>95</v>
      </c>
      <c r="CP2" s="9" t="s">
        <v>95</v>
      </c>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row>
    <row r="3" spans="1:155" ht="17.25" customHeight="1" x14ac:dyDescent="0.25">
      <c r="A3" s="12">
        <v>45867.898854166669</v>
      </c>
      <c r="B3" s="12">
        <v>45895.862662037034</v>
      </c>
      <c r="C3" s="9" t="s">
        <v>96</v>
      </c>
      <c r="D3" s="9" t="s">
        <v>453</v>
      </c>
      <c r="E3" s="13">
        <v>2416073</v>
      </c>
      <c r="F3" s="9" t="s">
        <v>105</v>
      </c>
      <c r="G3" s="12">
        <v>45895.862677083336</v>
      </c>
      <c r="H3" s="9" t="s">
        <v>454</v>
      </c>
      <c r="I3" s="13">
        <v>37.750999999999998</v>
      </c>
      <c r="J3" s="13">
        <v>-97.822000000000003</v>
      </c>
      <c r="K3" s="9" t="s">
        <v>98</v>
      </c>
      <c r="L3" s="9" t="s">
        <v>455</v>
      </c>
      <c r="M3" s="3" t="s">
        <v>456</v>
      </c>
      <c r="N3" s="9" t="s">
        <v>457</v>
      </c>
      <c r="O3" s="3" t="s">
        <v>902</v>
      </c>
      <c r="P3" s="9" t="s">
        <v>458</v>
      </c>
      <c r="Q3" s="9" t="s">
        <v>130</v>
      </c>
      <c r="R3" s="3">
        <v>1531</v>
      </c>
      <c r="S3" s="3">
        <v>6258</v>
      </c>
      <c r="T3" s="3">
        <v>59789</v>
      </c>
      <c r="U3" s="3">
        <v>33765</v>
      </c>
      <c r="V3" s="3">
        <v>0</v>
      </c>
      <c r="W3" s="9" t="s">
        <v>118</v>
      </c>
      <c r="X3" s="3">
        <v>7</v>
      </c>
      <c r="Y3" s="9" t="s">
        <v>92</v>
      </c>
      <c r="Z3" s="3">
        <v>100</v>
      </c>
      <c r="AA3" s="3">
        <v>32029565</v>
      </c>
      <c r="AB3" s="3">
        <v>3285218</v>
      </c>
      <c r="AC3" s="3">
        <v>80</v>
      </c>
      <c r="AD3" s="3">
        <v>227783</v>
      </c>
      <c r="AE3" s="3">
        <v>34</v>
      </c>
      <c r="AF3" s="17">
        <v>122000000</v>
      </c>
      <c r="AG3" s="9" t="s">
        <v>93</v>
      </c>
      <c r="AH3" s="9" t="s">
        <v>93</v>
      </c>
      <c r="AI3" s="9" t="s">
        <v>93</v>
      </c>
      <c r="AJ3" s="9" t="s">
        <v>93</v>
      </c>
      <c r="AK3" s="9" t="s">
        <v>93</v>
      </c>
      <c r="AL3" s="9" t="s">
        <v>93</v>
      </c>
      <c r="AM3" s="9" t="s">
        <v>93</v>
      </c>
      <c r="AN3" s="9" t="s">
        <v>93</v>
      </c>
      <c r="AO3" s="9" t="s">
        <v>93</v>
      </c>
      <c r="AP3" s="9" t="s">
        <v>93</v>
      </c>
      <c r="AQ3" s="9" t="s">
        <v>93</v>
      </c>
      <c r="AR3" s="9" t="s">
        <v>93</v>
      </c>
      <c r="AS3" s="9" t="s">
        <v>93</v>
      </c>
      <c r="AT3" s="9" t="s">
        <v>93</v>
      </c>
      <c r="AU3" s="9" t="s">
        <v>93</v>
      </c>
      <c r="AV3" s="9" t="s">
        <v>93</v>
      </c>
      <c r="AW3" s="9" t="s">
        <v>93</v>
      </c>
      <c r="AX3" s="9" t="s">
        <v>94</v>
      </c>
      <c r="AY3" s="9" t="s">
        <v>93</v>
      </c>
      <c r="AZ3" s="9" t="s">
        <v>93</v>
      </c>
      <c r="BA3" s="9" t="s">
        <v>93</v>
      </c>
      <c r="BB3" s="9" t="s">
        <v>93</v>
      </c>
      <c r="BC3" s="11">
        <v>4</v>
      </c>
      <c r="BD3" s="11">
        <v>4</v>
      </c>
      <c r="BE3" s="11">
        <v>4</v>
      </c>
      <c r="BF3" s="11">
        <v>4</v>
      </c>
      <c r="BG3" s="11">
        <v>4</v>
      </c>
      <c r="BH3" s="11">
        <v>5</v>
      </c>
      <c r="BI3" s="11">
        <v>4</v>
      </c>
      <c r="BJ3" s="11">
        <v>5</v>
      </c>
      <c r="BK3" s="11">
        <v>4</v>
      </c>
      <c r="BL3" s="11">
        <v>4</v>
      </c>
      <c r="BM3" s="11">
        <v>5</v>
      </c>
      <c r="BN3" s="11">
        <v>5</v>
      </c>
      <c r="BO3" s="11">
        <v>5</v>
      </c>
      <c r="BP3" s="11">
        <v>5</v>
      </c>
      <c r="BQ3" s="11">
        <v>5</v>
      </c>
      <c r="BR3" s="11">
        <v>5</v>
      </c>
      <c r="BS3" s="11">
        <v>2</v>
      </c>
      <c r="BT3" s="11">
        <v>5</v>
      </c>
      <c r="BU3" s="11">
        <v>5</v>
      </c>
      <c r="BV3" s="11">
        <v>5</v>
      </c>
      <c r="BW3" s="11">
        <v>5</v>
      </c>
      <c r="BX3" s="11">
        <v>5</v>
      </c>
      <c r="BY3" s="11">
        <v>2</v>
      </c>
      <c r="BZ3" s="11">
        <v>5</v>
      </c>
      <c r="CA3" s="11">
        <v>5</v>
      </c>
      <c r="CB3" s="11">
        <v>5</v>
      </c>
      <c r="CC3" s="11">
        <v>5</v>
      </c>
      <c r="CD3" s="11">
        <v>5</v>
      </c>
      <c r="CE3" s="9"/>
      <c r="CF3" s="3">
        <v>21</v>
      </c>
      <c r="CG3" s="3">
        <v>42</v>
      </c>
      <c r="CH3" s="3">
        <v>84</v>
      </c>
      <c r="CI3" s="6">
        <f>COUNTIF(AG3:BB3, "Dispone")/22</f>
        <v>0.95454545454545459</v>
      </c>
      <c r="CJ3" s="7">
        <f>AVERAGE(BC3:BL3)</f>
        <v>4.2</v>
      </c>
      <c r="CK3" s="15">
        <f>AVERAGE(BM3:CD3)</f>
        <v>4.666666666666667</v>
      </c>
      <c r="CL3" s="9" t="str">
        <f>IF(AND(CI3&gt;50%, CJ3&gt;2.5, CK3&gt;2.5), "Compromiso", "")</f>
        <v>Compromiso</v>
      </c>
      <c r="CM3" s="9" t="str">
        <f>IF(AND(CI3&gt;75%, CJ3&gt;4, CK3&gt;4), "Liderazgo", "")</f>
        <v>Liderazgo</v>
      </c>
      <c r="CN3" s="9" t="str">
        <f>IF(AND(CI3&gt;90%, CJ3&gt;4.5, CK3&gt;4.5), "Transformación", "")</f>
        <v/>
      </c>
      <c r="CO3" s="9" t="s">
        <v>103</v>
      </c>
      <c r="CP3" s="9" t="s">
        <v>103</v>
      </c>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row>
    <row r="4" spans="1:155" ht="17.25" customHeight="1" x14ac:dyDescent="0.25">
      <c r="A4" s="10">
        <v>45936.952777777777</v>
      </c>
      <c r="B4" s="16">
        <v>45961.066666666666</v>
      </c>
      <c r="C4" s="3" t="s">
        <v>96</v>
      </c>
      <c r="D4" s="3" t="s">
        <v>556</v>
      </c>
      <c r="E4" s="3">
        <v>2087008</v>
      </c>
      <c r="F4" s="3" t="b">
        <v>1</v>
      </c>
      <c r="G4" s="16">
        <v>45961.066666666666</v>
      </c>
      <c r="H4" s="3" t="s">
        <v>557</v>
      </c>
      <c r="I4" s="3">
        <v>-33.452100000000002</v>
      </c>
      <c r="J4" s="3">
        <v>-70.653599999999997</v>
      </c>
      <c r="K4" s="3" t="s">
        <v>98</v>
      </c>
      <c r="L4" s="3" t="s">
        <v>558</v>
      </c>
      <c r="M4" s="3" t="s">
        <v>874</v>
      </c>
      <c r="N4" s="3" t="s">
        <v>559</v>
      </c>
      <c r="O4" s="3" t="s">
        <v>903</v>
      </c>
      <c r="P4" s="3">
        <v>918854083</v>
      </c>
      <c r="Q4" s="3" t="s">
        <v>130</v>
      </c>
      <c r="R4" s="3">
        <v>1977</v>
      </c>
      <c r="S4" s="3">
        <v>3.0990000000000002</v>
      </c>
      <c r="T4" s="3">
        <v>27.321000000000002</v>
      </c>
      <c r="U4" s="3">
        <v>0</v>
      </c>
      <c r="V4" s="3">
        <v>5</v>
      </c>
      <c r="W4" s="3" t="s">
        <v>118</v>
      </c>
      <c r="X4" s="3">
        <v>14.3</v>
      </c>
      <c r="Y4" s="3" t="s">
        <v>92</v>
      </c>
      <c r="Z4" s="3">
        <v>20</v>
      </c>
      <c r="AA4" s="3">
        <v>0</v>
      </c>
      <c r="AB4" s="3">
        <v>3430</v>
      </c>
      <c r="AC4" s="3">
        <v>0</v>
      </c>
      <c r="AD4" s="3">
        <v>0</v>
      </c>
      <c r="AE4" s="3">
        <v>0</v>
      </c>
      <c r="AF4" s="3">
        <v>0</v>
      </c>
      <c r="AG4" s="3" t="s">
        <v>93</v>
      </c>
      <c r="AH4" s="3" t="s">
        <v>93</v>
      </c>
      <c r="AI4" s="3" t="s">
        <v>94</v>
      </c>
      <c r="AJ4" s="3" t="s">
        <v>93</v>
      </c>
      <c r="AK4" s="3" t="s">
        <v>93</v>
      </c>
      <c r="AL4" s="3" t="s">
        <v>93</v>
      </c>
      <c r="AM4" s="3" t="s">
        <v>93</v>
      </c>
      <c r="AN4" s="3" t="s">
        <v>93</v>
      </c>
      <c r="AO4" s="3" t="s">
        <v>93</v>
      </c>
      <c r="AP4" s="3" t="s">
        <v>93</v>
      </c>
      <c r="AQ4" s="3" t="s">
        <v>94</v>
      </c>
      <c r="AR4" s="3" t="s">
        <v>93</v>
      </c>
      <c r="AS4" s="3" t="s">
        <v>93</v>
      </c>
      <c r="AT4" s="3" t="s">
        <v>93</v>
      </c>
      <c r="AU4" s="3" t="s">
        <v>93</v>
      </c>
      <c r="AV4" s="3" t="s">
        <v>93</v>
      </c>
      <c r="AW4" s="3" t="s">
        <v>93</v>
      </c>
      <c r="AX4" s="3" t="s">
        <v>93</v>
      </c>
      <c r="AY4" s="3" t="s">
        <v>93</v>
      </c>
      <c r="AZ4" s="3" t="s">
        <v>94</v>
      </c>
      <c r="BA4" s="3" t="s">
        <v>93</v>
      </c>
      <c r="BB4" s="3" t="s">
        <v>93</v>
      </c>
      <c r="BC4" s="3">
        <v>5</v>
      </c>
      <c r="BD4" s="3">
        <v>5</v>
      </c>
      <c r="BE4" s="3">
        <v>5</v>
      </c>
      <c r="BF4" s="3">
        <v>4</v>
      </c>
      <c r="BG4" s="3">
        <v>5</v>
      </c>
      <c r="BH4" s="3">
        <v>5</v>
      </c>
      <c r="BI4" s="3">
        <v>4</v>
      </c>
      <c r="BJ4" s="3">
        <v>4</v>
      </c>
      <c r="BK4" s="3">
        <v>4</v>
      </c>
      <c r="BL4" s="3">
        <v>5</v>
      </c>
      <c r="BM4" s="3">
        <v>5</v>
      </c>
      <c r="BN4" s="3">
        <v>5</v>
      </c>
      <c r="BO4" s="3">
        <v>5</v>
      </c>
      <c r="BP4" s="3">
        <v>5</v>
      </c>
      <c r="BQ4" s="3">
        <v>4</v>
      </c>
      <c r="BR4" s="3">
        <v>4</v>
      </c>
      <c r="BS4" s="3">
        <v>4</v>
      </c>
      <c r="BT4" s="3">
        <v>5</v>
      </c>
      <c r="BU4" s="3">
        <v>5</v>
      </c>
      <c r="BV4" s="3">
        <v>5</v>
      </c>
      <c r="BW4" s="3">
        <v>4</v>
      </c>
      <c r="BX4" s="3">
        <v>4</v>
      </c>
      <c r="BY4" s="3">
        <v>5</v>
      </c>
      <c r="BZ4" s="3">
        <v>5</v>
      </c>
      <c r="CA4" s="3">
        <v>5</v>
      </c>
      <c r="CB4" s="3">
        <v>5</v>
      </c>
      <c r="CC4" s="3">
        <v>4</v>
      </c>
      <c r="CD4" s="3">
        <v>5</v>
      </c>
      <c r="CF4" s="3">
        <v>19</v>
      </c>
      <c r="CG4" s="3">
        <v>46</v>
      </c>
      <c r="CH4" s="3">
        <v>84</v>
      </c>
      <c r="CI4" s="6">
        <f>COUNTIF(AG4:BB4, "Dispone")/22</f>
        <v>0.86363636363636365</v>
      </c>
      <c r="CJ4" s="7">
        <f>AVERAGE(BC4:BL4)</f>
        <v>4.5999999999999996</v>
      </c>
      <c r="CK4" s="15">
        <f>AVERAGE(BM4:CD4)</f>
        <v>4.666666666666667</v>
      </c>
      <c r="CL4" s="9" t="str">
        <f>IF(AND(CI4&gt;50%, CJ4&gt;2.5, CK4&gt;2.5), "Compromiso", "")</f>
        <v>Compromiso</v>
      </c>
      <c r="CM4" s="9" t="str">
        <f>IF(AND(CI4&gt;75%, CJ4&gt;4, CK4&gt;4), "Liderazgo", "")</f>
        <v>Liderazgo</v>
      </c>
      <c r="CN4" s="9" t="str">
        <f>IF(AND(CI4&gt;90%, CJ4&gt;4.5, CK4&gt;4.5), "Transformación", "")</f>
        <v/>
      </c>
      <c r="CO4" s="9" t="s">
        <v>103</v>
      </c>
      <c r="CP4" s="9" t="s">
        <v>95</v>
      </c>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row>
    <row r="5" spans="1:155" ht="17.25" customHeight="1" x14ac:dyDescent="0.25">
      <c r="A5" s="12">
        <v>45891.618125000001</v>
      </c>
      <c r="B5" s="12">
        <v>45912.59003472222</v>
      </c>
      <c r="C5" s="9" t="s">
        <v>96</v>
      </c>
      <c r="D5" s="9" t="s">
        <v>489</v>
      </c>
      <c r="E5" s="13">
        <v>1811972</v>
      </c>
      <c r="F5" s="9" t="s">
        <v>105</v>
      </c>
      <c r="G5" s="12">
        <v>45912.590040671297</v>
      </c>
      <c r="H5" s="9" t="s">
        <v>548</v>
      </c>
      <c r="I5" s="13">
        <v>-21.250299999999999</v>
      </c>
      <c r="J5" s="13">
        <v>-44.244799999999998</v>
      </c>
      <c r="K5" s="3" t="s">
        <v>98</v>
      </c>
      <c r="L5" s="9" t="s">
        <v>549</v>
      </c>
      <c r="M5" s="3" t="s">
        <v>550</v>
      </c>
      <c r="N5" s="9" t="s">
        <v>551</v>
      </c>
      <c r="O5" s="3" t="s">
        <v>904</v>
      </c>
      <c r="P5" s="14" t="s">
        <v>1009</v>
      </c>
      <c r="Q5" s="9" t="s">
        <v>231</v>
      </c>
      <c r="R5" s="3">
        <v>1996</v>
      </c>
      <c r="S5" s="3">
        <v>1812</v>
      </c>
      <c r="T5" s="3">
        <v>14764</v>
      </c>
      <c r="U5" s="3">
        <v>1137</v>
      </c>
      <c r="V5" s="3">
        <v>2784</v>
      </c>
      <c r="W5" s="9" t="s">
        <v>91</v>
      </c>
      <c r="X5" s="3">
        <v>4.0000000000000001E-3</v>
      </c>
      <c r="Y5" s="9" t="s">
        <v>92</v>
      </c>
      <c r="Z5" s="3">
        <v>9</v>
      </c>
      <c r="AA5" s="3">
        <v>5934943</v>
      </c>
      <c r="AB5" s="3">
        <v>1256.71</v>
      </c>
      <c r="AC5" s="3">
        <v>1</v>
      </c>
      <c r="AD5" s="3">
        <v>69986.399999999994</v>
      </c>
      <c r="AE5" s="3">
        <v>24</v>
      </c>
      <c r="AF5" s="3">
        <v>234541.9</v>
      </c>
      <c r="AG5" s="9" t="s">
        <v>93</v>
      </c>
      <c r="AH5" s="9" t="s">
        <v>93</v>
      </c>
      <c r="AI5" s="9" t="s">
        <v>94</v>
      </c>
      <c r="AJ5" s="9" t="s">
        <v>93</v>
      </c>
      <c r="AK5" s="9" t="s">
        <v>93</v>
      </c>
      <c r="AL5" s="9" t="s">
        <v>93</v>
      </c>
      <c r="AM5" s="9" t="s">
        <v>93</v>
      </c>
      <c r="AN5" s="9" t="s">
        <v>93</v>
      </c>
      <c r="AO5" s="9" t="s">
        <v>93</v>
      </c>
      <c r="AP5" s="9" t="s">
        <v>94</v>
      </c>
      <c r="AQ5" s="9" t="s">
        <v>93</v>
      </c>
      <c r="AR5" s="9" t="s">
        <v>93</v>
      </c>
      <c r="AS5" s="9" t="s">
        <v>93</v>
      </c>
      <c r="AT5" s="9" t="s">
        <v>93</v>
      </c>
      <c r="AU5" s="9" t="s">
        <v>93</v>
      </c>
      <c r="AV5" s="9" t="s">
        <v>93</v>
      </c>
      <c r="AW5" s="9" t="s">
        <v>93</v>
      </c>
      <c r="AX5" s="9" t="s">
        <v>93</v>
      </c>
      <c r="AY5" s="9" t="s">
        <v>93</v>
      </c>
      <c r="AZ5" s="9" t="s">
        <v>93</v>
      </c>
      <c r="BA5" s="9" t="s">
        <v>93</v>
      </c>
      <c r="BB5" s="9" t="s">
        <v>93</v>
      </c>
      <c r="BC5" s="11">
        <v>5</v>
      </c>
      <c r="BD5" s="11">
        <v>5</v>
      </c>
      <c r="BE5" s="11">
        <v>5</v>
      </c>
      <c r="BF5" s="11">
        <v>5</v>
      </c>
      <c r="BG5" s="11">
        <v>5</v>
      </c>
      <c r="BH5" s="11">
        <v>5</v>
      </c>
      <c r="BI5" s="11">
        <v>1</v>
      </c>
      <c r="BJ5" s="11">
        <v>5</v>
      </c>
      <c r="BK5" s="11">
        <v>2</v>
      </c>
      <c r="BL5" s="11">
        <v>4</v>
      </c>
      <c r="BM5" s="11">
        <v>5</v>
      </c>
      <c r="BN5" s="11">
        <v>5</v>
      </c>
      <c r="BO5" s="11">
        <v>4</v>
      </c>
      <c r="BP5" s="11">
        <v>2</v>
      </c>
      <c r="BQ5" s="11">
        <v>5</v>
      </c>
      <c r="BR5" s="11">
        <v>5</v>
      </c>
      <c r="BS5" s="11">
        <v>2</v>
      </c>
      <c r="BT5" s="11">
        <v>5</v>
      </c>
      <c r="BU5" s="11">
        <v>4</v>
      </c>
      <c r="BV5" s="11">
        <v>5</v>
      </c>
      <c r="BW5" s="11">
        <v>5</v>
      </c>
      <c r="BX5" s="11">
        <v>5</v>
      </c>
      <c r="BY5" s="11">
        <v>5</v>
      </c>
      <c r="BZ5" s="11">
        <v>5</v>
      </c>
      <c r="CA5" s="11">
        <v>3</v>
      </c>
      <c r="CB5" s="11">
        <v>5</v>
      </c>
      <c r="CC5" s="11">
        <v>4</v>
      </c>
      <c r="CD5" s="11">
        <v>5</v>
      </c>
      <c r="CE5" s="9"/>
      <c r="CF5" s="3">
        <v>20</v>
      </c>
      <c r="CG5" s="3">
        <v>42</v>
      </c>
      <c r="CH5" s="3">
        <v>79</v>
      </c>
      <c r="CI5" s="6">
        <f>COUNTIF(AG5:BB5, "Dispone")/22</f>
        <v>0.90909090909090906</v>
      </c>
      <c r="CJ5" s="7">
        <f>AVERAGE(BC5:BL5)</f>
        <v>4.2</v>
      </c>
      <c r="CK5" s="15">
        <f>AVERAGE(BM5:CD5)</f>
        <v>4.3888888888888893</v>
      </c>
      <c r="CL5" s="9" t="str">
        <f>IF(AND(CI5&gt;50%, CJ5&gt;2.5, CK5&gt;2.5), "Compromiso", "")</f>
        <v>Compromiso</v>
      </c>
      <c r="CM5" s="9" t="str">
        <f>IF(AND(CI5&gt;75%, CJ5&gt;4, CK5&gt;4), "Liderazgo", "")</f>
        <v>Liderazgo</v>
      </c>
      <c r="CN5" s="9" t="str">
        <f>IF(AND(CI5&gt;90%, CJ5&gt;4.5, CK5&gt;4.5), "Transformación", "")</f>
        <v/>
      </c>
      <c r="CO5" s="9" t="s">
        <v>103</v>
      </c>
      <c r="CP5" s="9" t="s">
        <v>103</v>
      </c>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row>
    <row r="6" spans="1:155" ht="17.25" customHeight="1" x14ac:dyDescent="0.25">
      <c r="A6" s="16">
        <v>45954.504861111112</v>
      </c>
      <c r="B6" s="16">
        <v>45972.465277777781</v>
      </c>
      <c r="C6" s="3" t="s">
        <v>96</v>
      </c>
      <c r="D6" s="11">
        <v>79116107159</v>
      </c>
      <c r="E6" s="3">
        <v>1555422</v>
      </c>
      <c r="F6" s="3" t="b">
        <v>1</v>
      </c>
      <c r="G6" s="16">
        <v>45972.465277777781</v>
      </c>
      <c r="H6" s="3" t="s">
        <v>638</v>
      </c>
      <c r="I6" s="3">
        <v>40.417200000000001</v>
      </c>
      <c r="J6" s="3">
        <v>-3.6840000000000002</v>
      </c>
      <c r="K6" s="3" t="s">
        <v>98</v>
      </c>
      <c r="L6" s="3" t="s">
        <v>639</v>
      </c>
      <c r="M6" s="3" t="s">
        <v>640</v>
      </c>
      <c r="N6" s="3" t="s">
        <v>641</v>
      </c>
      <c r="O6" s="3" t="s">
        <v>642</v>
      </c>
      <c r="P6" s="3" t="s">
        <v>643</v>
      </c>
      <c r="Q6" s="3" t="s">
        <v>144</v>
      </c>
      <c r="R6" s="3">
        <v>1950</v>
      </c>
      <c r="S6" s="3">
        <v>8.0020000000000007</v>
      </c>
      <c r="T6" s="3">
        <v>42876</v>
      </c>
      <c r="U6" s="3">
        <v>520</v>
      </c>
      <c r="V6" s="3">
        <v>61</v>
      </c>
      <c r="W6" s="3" t="s">
        <v>118</v>
      </c>
      <c r="X6" s="3">
        <v>0.14000000000000001</v>
      </c>
      <c r="Y6" s="3" t="s">
        <v>92</v>
      </c>
      <c r="Z6" s="3">
        <v>25</v>
      </c>
      <c r="AA6" s="3">
        <v>35157522</v>
      </c>
      <c r="AB6" s="3">
        <v>0</v>
      </c>
      <c r="AC6" s="3">
        <v>0</v>
      </c>
      <c r="AD6" s="3">
        <v>203826.6</v>
      </c>
      <c r="AE6" s="3">
        <v>40</v>
      </c>
      <c r="AF6" s="3">
        <v>0</v>
      </c>
      <c r="AG6" s="3" t="s">
        <v>93</v>
      </c>
      <c r="AH6" s="3" t="s">
        <v>93</v>
      </c>
      <c r="AI6" s="3" t="s">
        <v>94</v>
      </c>
      <c r="AJ6" s="3" t="s">
        <v>93</v>
      </c>
      <c r="AK6" s="3" t="s">
        <v>93</v>
      </c>
      <c r="AL6" s="3" t="s">
        <v>93</v>
      </c>
      <c r="AM6" s="3" t="s">
        <v>93</v>
      </c>
      <c r="AN6" s="3" t="s">
        <v>93</v>
      </c>
      <c r="AO6" s="3" t="s">
        <v>93</v>
      </c>
      <c r="AP6" s="3" t="s">
        <v>94</v>
      </c>
      <c r="AQ6" s="3" t="s">
        <v>93</v>
      </c>
      <c r="AR6" s="3" t="s">
        <v>93</v>
      </c>
      <c r="AS6" s="3" t="s">
        <v>93</v>
      </c>
      <c r="AT6" s="3" t="s">
        <v>93</v>
      </c>
      <c r="AU6" s="3" t="s">
        <v>93</v>
      </c>
      <c r="AV6" s="3" t="s">
        <v>93</v>
      </c>
      <c r="AW6" s="3" t="s">
        <v>93</v>
      </c>
      <c r="AX6" s="3" t="s">
        <v>94</v>
      </c>
      <c r="AY6" s="3" t="s">
        <v>93</v>
      </c>
      <c r="AZ6" s="3" t="s">
        <v>93</v>
      </c>
      <c r="BA6" s="3" t="s">
        <v>93</v>
      </c>
      <c r="BB6" s="3" t="s">
        <v>94</v>
      </c>
      <c r="BC6" s="3">
        <v>2</v>
      </c>
      <c r="BD6" s="3">
        <v>2</v>
      </c>
      <c r="BE6" s="3">
        <v>2</v>
      </c>
      <c r="BF6" s="3">
        <v>2</v>
      </c>
      <c r="BG6" s="3">
        <v>2</v>
      </c>
      <c r="BH6" s="3">
        <v>2</v>
      </c>
      <c r="BI6" s="3">
        <v>2</v>
      </c>
      <c r="BJ6" s="3">
        <v>2</v>
      </c>
      <c r="BK6" s="3">
        <v>2</v>
      </c>
      <c r="BL6" s="3">
        <v>2</v>
      </c>
      <c r="BM6" s="3">
        <v>5</v>
      </c>
      <c r="BN6" s="3">
        <v>3</v>
      </c>
      <c r="BO6" s="3">
        <v>3</v>
      </c>
      <c r="BP6" s="3">
        <v>2</v>
      </c>
      <c r="BQ6" s="3">
        <v>2</v>
      </c>
      <c r="BR6" s="3">
        <v>3</v>
      </c>
      <c r="BS6" s="3">
        <v>2</v>
      </c>
      <c r="BT6" s="3">
        <v>2</v>
      </c>
      <c r="BU6" s="3">
        <v>2</v>
      </c>
      <c r="BV6" s="3">
        <v>2</v>
      </c>
      <c r="BW6" s="3">
        <v>2</v>
      </c>
      <c r="BX6" s="3">
        <v>2</v>
      </c>
      <c r="BY6" s="3">
        <v>2</v>
      </c>
      <c r="BZ6" s="3">
        <v>2</v>
      </c>
      <c r="CA6" s="3">
        <v>2</v>
      </c>
      <c r="CB6" s="3">
        <v>4</v>
      </c>
      <c r="CC6" s="3">
        <v>4</v>
      </c>
      <c r="CD6" s="3">
        <v>2</v>
      </c>
      <c r="CE6" s="3" t="s">
        <v>644</v>
      </c>
      <c r="CF6" s="3">
        <v>18</v>
      </c>
      <c r="CG6" s="3">
        <v>20</v>
      </c>
      <c r="CH6" s="3">
        <v>46</v>
      </c>
      <c r="CI6" s="6">
        <f>COUNTIF(AG6:BB6, "Dispone")/22</f>
        <v>0.81818181818181823</v>
      </c>
      <c r="CJ6" s="7">
        <f>AVERAGE(BC6:BL6)</f>
        <v>2</v>
      </c>
      <c r="CK6" s="15">
        <f>AVERAGE(BM6:CD6)</f>
        <v>2.5555555555555554</v>
      </c>
      <c r="CL6" s="9" t="str">
        <f>IF(AND(CI6&gt;50%, CJ6&gt;2.5, CK6&gt;2.5), "Compromiso", "")</f>
        <v/>
      </c>
      <c r="CM6" s="9" t="str">
        <f>IF(AND(CI6&gt;75%, CJ6&gt;4, CK6&gt;4), "Liderazgo", "")</f>
        <v/>
      </c>
      <c r="CN6" s="9" t="str">
        <f>IF(AND(CI6&gt;90%, CJ6&gt;4.5, CK6&gt;4.5), "Transformación", "")</f>
        <v/>
      </c>
      <c r="CO6" s="9" t="s">
        <v>581</v>
      </c>
      <c r="CP6" s="9" t="s">
        <v>95</v>
      </c>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row>
    <row r="7" spans="1:155" ht="17.25" customHeight="1" x14ac:dyDescent="0.25">
      <c r="A7" s="12">
        <v>45936.755671296298</v>
      </c>
      <c r="B7" s="12">
        <v>45954.048877314817</v>
      </c>
      <c r="C7" s="9" t="s">
        <v>96</v>
      </c>
      <c r="D7" s="9" t="s">
        <v>319</v>
      </c>
      <c r="E7" s="13">
        <v>1494133</v>
      </c>
      <c r="F7" s="9" t="s">
        <v>105</v>
      </c>
      <c r="G7" s="12">
        <v>45954.048895266205</v>
      </c>
      <c r="H7" s="9" t="s">
        <v>320</v>
      </c>
      <c r="I7" s="13">
        <v>20.676200000000001</v>
      </c>
      <c r="J7" s="13">
        <v>-103.34690000000001</v>
      </c>
      <c r="K7" s="9" t="s">
        <v>98</v>
      </c>
      <c r="L7" s="9" t="s">
        <v>321</v>
      </c>
      <c r="M7" s="3" t="s">
        <v>322</v>
      </c>
      <c r="N7" s="9" t="s">
        <v>323</v>
      </c>
      <c r="O7" s="3" t="s">
        <v>905</v>
      </c>
      <c r="P7" s="9"/>
      <c r="Q7" s="9" t="s">
        <v>130</v>
      </c>
      <c r="R7" s="3">
        <v>1972</v>
      </c>
      <c r="S7" s="3">
        <v>2072</v>
      </c>
      <c r="T7" s="3">
        <v>12535</v>
      </c>
      <c r="U7" s="3">
        <v>0</v>
      </c>
      <c r="V7" s="3">
        <v>172</v>
      </c>
      <c r="W7" s="9" t="s">
        <v>118</v>
      </c>
      <c r="X7" s="3">
        <v>5.46</v>
      </c>
      <c r="Y7" s="9" t="s">
        <v>92</v>
      </c>
      <c r="Z7" s="3">
        <v>19</v>
      </c>
      <c r="AA7" s="3">
        <v>14764502</v>
      </c>
      <c r="AB7" s="3">
        <v>3105</v>
      </c>
      <c r="AC7" s="3">
        <v>86</v>
      </c>
      <c r="AD7" s="3">
        <v>29173</v>
      </c>
      <c r="AE7" s="3">
        <v>26</v>
      </c>
      <c r="AF7" s="3">
        <v>60000</v>
      </c>
      <c r="AG7" s="9" t="s">
        <v>93</v>
      </c>
      <c r="AH7" s="9" t="s">
        <v>93</v>
      </c>
      <c r="AI7" s="9" t="s">
        <v>94</v>
      </c>
      <c r="AJ7" s="9" t="s">
        <v>93</v>
      </c>
      <c r="AK7" s="9" t="s">
        <v>93</v>
      </c>
      <c r="AL7" s="9" t="s">
        <v>94</v>
      </c>
      <c r="AM7" s="9" t="s">
        <v>93</v>
      </c>
      <c r="AN7" s="9" t="s">
        <v>93</v>
      </c>
      <c r="AO7" s="9" t="s">
        <v>93</v>
      </c>
      <c r="AP7" s="9" t="s">
        <v>93</v>
      </c>
      <c r="AQ7" s="9" t="s">
        <v>93</v>
      </c>
      <c r="AR7" s="9" t="s">
        <v>93</v>
      </c>
      <c r="AS7" s="9" t="s">
        <v>93</v>
      </c>
      <c r="AT7" s="9" t="s">
        <v>93</v>
      </c>
      <c r="AU7" s="9" t="s">
        <v>93</v>
      </c>
      <c r="AV7" s="9" t="s">
        <v>93</v>
      </c>
      <c r="AW7" s="9" t="s">
        <v>94</v>
      </c>
      <c r="AX7" s="9" t="s">
        <v>94</v>
      </c>
      <c r="AY7" s="9" t="s">
        <v>94</v>
      </c>
      <c r="AZ7" s="9" t="s">
        <v>94</v>
      </c>
      <c r="BA7" s="9" t="s">
        <v>93</v>
      </c>
      <c r="BB7" s="9" t="s">
        <v>93</v>
      </c>
      <c r="BC7" s="11">
        <v>5</v>
      </c>
      <c r="BD7" s="11">
        <v>5</v>
      </c>
      <c r="BE7" s="11">
        <v>5</v>
      </c>
      <c r="BF7" s="11">
        <v>4</v>
      </c>
      <c r="BG7" s="11">
        <v>3</v>
      </c>
      <c r="BH7" s="11">
        <v>4</v>
      </c>
      <c r="BI7" s="11">
        <v>4</v>
      </c>
      <c r="BJ7" s="11">
        <v>5</v>
      </c>
      <c r="BK7" s="11">
        <v>4</v>
      </c>
      <c r="BL7" s="11">
        <v>4</v>
      </c>
      <c r="BM7" s="11">
        <v>4</v>
      </c>
      <c r="BN7" s="11">
        <v>4</v>
      </c>
      <c r="BO7" s="11">
        <v>4</v>
      </c>
      <c r="BP7" s="11">
        <v>4</v>
      </c>
      <c r="BQ7" s="11">
        <v>4</v>
      </c>
      <c r="BR7" s="11">
        <v>4</v>
      </c>
      <c r="BS7" s="11">
        <v>5</v>
      </c>
      <c r="BT7" s="11">
        <v>5</v>
      </c>
      <c r="BU7" s="11">
        <v>4</v>
      </c>
      <c r="BV7" s="11">
        <v>4</v>
      </c>
      <c r="BW7" s="11">
        <v>5</v>
      </c>
      <c r="BX7" s="11">
        <v>4</v>
      </c>
      <c r="BY7" s="11">
        <v>3</v>
      </c>
      <c r="BZ7" s="11">
        <v>5</v>
      </c>
      <c r="CA7" s="11">
        <v>5</v>
      </c>
      <c r="CB7" s="11">
        <v>5</v>
      </c>
      <c r="CC7" s="11">
        <v>5</v>
      </c>
      <c r="CD7" s="11">
        <v>4</v>
      </c>
      <c r="CE7" s="9"/>
      <c r="CF7" s="3">
        <v>16</v>
      </c>
      <c r="CG7" s="3">
        <v>43</v>
      </c>
      <c r="CH7" s="3">
        <v>78</v>
      </c>
      <c r="CI7" s="6">
        <f>COUNTIF(AG7:BB7, "Dispone")/22</f>
        <v>0.72727272727272729</v>
      </c>
      <c r="CJ7" s="7">
        <f>AVERAGE(BC7:BL7)</f>
        <v>4.3</v>
      </c>
      <c r="CK7" s="15">
        <f>AVERAGE(BM7:CD7)</f>
        <v>4.333333333333333</v>
      </c>
      <c r="CL7" s="9" t="str">
        <f>IF(AND(CI7&gt;50%, CJ7&gt;2.5, CK7&gt;2.5), "Compromiso", "")</f>
        <v>Compromiso</v>
      </c>
      <c r="CM7" s="9" t="str">
        <f>IF(AND(CI7&gt;75%, CJ7&gt;4, CK7&gt;4), "Liderazgo", "")</f>
        <v/>
      </c>
      <c r="CN7" s="9" t="str">
        <f>IF(AND(CI7&gt;90%, CJ7&gt;4.5, CK7&gt;4.5), "Transformación", "")</f>
        <v/>
      </c>
      <c r="CO7" s="9" t="s">
        <v>95</v>
      </c>
      <c r="CP7" s="9" t="s">
        <v>132</v>
      </c>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row>
    <row r="8" spans="1:155" ht="17.25" customHeight="1" x14ac:dyDescent="0.25">
      <c r="A8" s="12">
        <v>45905.70722222222</v>
      </c>
      <c r="B8" s="12">
        <v>45922.623576388891</v>
      </c>
      <c r="C8" s="9" t="s">
        <v>96</v>
      </c>
      <c r="D8" s="9" t="s">
        <v>762</v>
      </c>
      <c r="E8" s="13">
        <v>1461573</v>
      </c>
      <c r="F8" s="9" t="s">
        <v>105</v>
      </c>
      <c r="G8" s="12">
        <v>45922.623591111114</v>
      </c>
      <c r="H8" s="9" t="s">
        <v>763</v>
      </c>
      <c r="I8" s="13">
        <v>-33.451799999999999</v>
      </c>
      <c r="J8" s="13">
        <v>-70.546000000000006</v>
      </c>
      <c r="K8" s="9" t="s">
        <v>98</v>
      </c>
      <c r="L8" s="9" t="s">
        <v>764</v>
      </c>
      <c r="M8" s="3" t="s">
        <v>765</v>
      </c>
      <c r="N8" s="9" t="s">
        <v>766</v>
      </c>
      <c r="O8" s="3" t="s">
        <v>618</v>
      </c>
      <c r="P8" s="14" t="s">
        <v>1010</v>
      </c>
      <c r="Q8" s="9" t="s">
        <v>124</v>
      </c>
      <c r="R8" s="3">
        <v>1988</v>
      </c>
      <c r="S8" s="3">
        <v>5424</v>
      </c>
      <c r="T8" s="3">
        <v>90813</v>
      </c>
      <c r="U8" s="3">
        <v>0</v>
      </c>
      <c r="V8" s="3">
        <v>0</v>
      </c>
      <c r="W8" s="9" t="s">
        <v>91</v>
      </c>
      <c r="X8" s="3">
        <v>0</v>
      </c>
      <c r="Y8" s="9" t="s">
        <v>92</v>
      </c>
      <c r="Z8" s="3">
        <v>22</v>
      </c>
      <c r="AA8" s="3">
        <v>9746727</v>
      </c>
      <c r="AB8" s="3">
        <v>0</v>
      </c>
      <c r="AC8" s="3">
        <v>0</v>
      </c>
      <c r="AD8" s="3">
        <v>281677</v>
      </c>
      <c r="AE8" s="3">
        <v>0</v>
      </c>
      <c r="AF8" s="3">
        <v>0</v>
      </c>
      <c r="AG8" s="9" t="s">
        <v>93</v>
      </c>
      <c r="AH8" s="9" t="s">
        <v>93</v>
      </c>
      <c r="AI8" s="9" t="s">
        <v>94</v>
      </c>
      <c r="AJ8" s="9" t="s">
        <v>93</v>
      </c>
      <c r="AK8" s="9" t="s">
        <v>93</v>
      </c>
      <c r="AL8" s="9" t="s">
        <v>93</v>
      </c>
      <c r="AM8" s="9" t="s">
        <v>93</v>
      </c>
      <c r="AN8" s="9" t="s">
        <v>93</v>
      </c>
      <c r="AO8" s="9" t="s">
        <v>93</v>
      </c>
      <c r="AP8" s="9" t="s">
        <v>93</v>
      </c>
      <c r="AQ8" s="9" t="s">
        <v>93</v>
      </c>
      <c r="AR8" s="9" t="s">
        <v>93</v>
      </c>
      <c r="AS8" s="9" t="s">
        <v>93</v>
      </c>
      <c r="AT8" s="9" t="s">
        <v>93</v>
      </c>
      <c r="AU8" s="9" t="s">
        <v>93</v>
      </c>
      <c r="AV8" s="9" t="s">
        <v>93</v>
      </c>
      <c r="AW8" s="9" t="s">
        <v>93</v>
      </c>
      <c r="AX8" s="9" t="s">
        <v>93</v>
      </c>
      <c r="AY8" s="9" t="s">
        <v>94</v>
      </c>
      <c r="AZ8" s="9" t="s">
        <v>93</v>
      </c>
      <c r="BA8" s="9" t="s">
        <v>93</v>
      </c>
      <c r="BB8" s="9" t="s">
        <v>93</v>
      </c>
      <c r="BC8" s="11">
        <v>2</v>
      </c>
      <c r="BD8" s="11">
        <v>2</v>
      </c>
      <c r="BE8" s="11">
        <v>1</v>
      </c>
      <c r="BF8" s="11">
        <v>2</v>
      </c>
      <c r="BG8" s="11">
        <v>3</v>
      </c>
      <c r="BH8" s="11">
        <v>2</v>
      </c>
      <c r="BI8" s="11">
        <v>2</v>
      </c>
      <c r="BJ8" s="11">
        <v>2</v>
      </c>
      <c r="BK8" s="11">
        <v>2</v>
      </c>
      <c r="BL8" s="11">
        <v>2</v>
      </c>
      <c r="BM8" s="11">
        <v>5</v>
      </c>
      <c r="BN8" s="11">
        <v>5</v>
      </c>
      <c r="BO8" s="11">
        <v>5</v>
      </c>
      <c r="BP8" s="11">
        <v>4</v>
      </c>
      <c r="BQ8" s="11">
        <v>4</v>
      </c>
      <c r="BR8" s="11">
        <v>5</v>
      </c>
      <c r="BS8" s="11">
        <v>4</v>
      </c>
      <c r="BT8" s="11">
        <v>5</v>
      </c>
      <c r="BU8" s="11">
        <v>3</v>
      </c>
      <c r="BV8" s="11">
        <v>5</v>
      </c>
      <c r="BW8" s="11">
        <v>5</v>
      </c>
      <c r="BX8" s="11">
        <v>4</v>
      </c>
      <c r="BY8" s="11">
        <v>5</v>
      </c>
      <c r="BZ8" s="11">
        <v>5</v>
      </c>
      <c r="CA8" s="11">
        <v>4</v>
      </c>
      <c r="CB8" s="11">
        <v>4</v>
      </c>
      <c r="CC8" s="11">
        <v>5</v>
      </c>
      <c r="CD8" s="11">
        <v>5</v>
      </c>
      <c r="CE8" s="9"/>
      <c r="CF8" s="3">
        <v>20</v>
      </c>
      <c r="CG8" s="3">
        <v>20</v>
      </c>
      <c r="CH8" s="3">
        <v>82</v>
      </c>
      <c r="CI8" s="6">
        <f>COUNTIF(AG8:BB8, "Dispone")/22</f>
        <v>0.90909090909090906</v>
      </c>
      <c r="CJ8" s="7">
        <f>AVERAGE(BC8:BL8)</f>
        <v>2</v>
      </c>
      <c r="CK8" s="15">
        <f>AVERAGE(BM8:CD8)</f>
        <v>4.5555555555555554</v>
      </c>
      <c r="CL8" s="9" t="str">
        <f>IF(AND(CI8&gt;50%, CJ8&gt;2.5, CK8&gt;2.5), "Compromiso", "")</f>
        <v/>
      </c>
      <c r="CM8" s="9" t="str">
        <f>IF(AND(CI8&gt;75%, CJ8&gt;4, CK8&gt;4), "Liderazgo", "")</f>
        <v/>
      </c>
      <c r="CN8" s="9" t="str">
        <f>IF(AND(CI8&gt;90%, CJ8&gt;4.5, CK8&gt;4.5), "Transformación", "")</f>
        <v/>
      </c>
      <c r="CO8" s="9" t="s">
        <v>581</v>
      </c>
      <c r="CP8" s="9" t="s">
        <v>95</v>
      </c>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row>
    <row r="9" spans="1:155" ht="17.25" customHeight="1" x14ac:dyDescent="0.25">
      <c r="A9" s="12">
        <v>45882.956724537034</v>
      </c>
      <c r="B9" s="12">
        <v>45898.702939814815</v>
      </c>
      <c r="C9" s="9" t="s">
        <v>96</v>
      </c>
      <c r="D9" s="9" t="s">
        <v>621</v>
      </c>
      <c r="E9" s="13">
        <v>1360472</v>
      </c>
      <c r="F9" s="9" t="s">
        <v>105</v>
      </c>
      <c r="G9" s="12">
        <v>45898.702957673609</v>
      </c>
      <c r="H9" s="9" t="s">
        <v>622</v>
      </c>
      <c r="I9" s="13">
        <v>-33.022799999999997</v>
      </c>
      <c r="J9" s="13">
        <v>-71.551900000000003</v>
      </c>
      <c r="K9" s="9" t="s">
        <v>98</v>
      </c>
      <c r="L9" s="9" t="s">
        <v>623</v>
      </c>
      <c r="M9" s="3" t="s">
        <v>624</v>
      </c>
      <c r="N9" s="9" t="s">
        <v>625</v>
      </c>
      <c r="O9" s="3" t="s">
        <v>906</v>
      </c>
      <c r="P9" s="9" t="s">
        <v>626</v>
      </c>
      <c r="Q9" s="9" t="s">
        <v>206</v>
      </c>
      <c r="R9" s="3">
        <v>1992</v>
      </c>
      <c r="S9" s="3">
        <v>2488</v>
      </c>
      <c r="T9" s="3">
        <v>12.6</v>
      </c>
      <c r="U9" s="3">
        <v>2.8</v>
      </c>
      <c r="V9" s="3">
        <v>0</v>
      </c>
      <c r="W9" s="9" t="s">
        <v>91</v>
      </c>
      <c r="X9" s="3">
        <v>38</v>
      </c>
      <c r="Y9" s="9" t="s">
        <v>153</v>
      </c>
      <c r="Z9" s="3">
        <v>6</v>
      </c>
      <c r="AA9" s="3">
        <v>0</v>
      </c>
      <c r="AB9" s="3">
        <v>0</v>
      </c>
      <c r="AC9" s="3">
        <v>20</v>
      </c>
      <c r="AD9" s="3">
        <v>0</v>
      </c>
      <c r="AE9" s="3">
        <v>0</v>
      </c>
      <c r="AF9" s="3">
        <v>0</v>
      </c>
      <c r="AG9" s="9" t="s">
        <v>93</v>
      </c>
      <c r="AH9" s="9" t="s">
        <v>93</v>
      </c>
      <c r="AI9" s="9" t="s">
        <v>94</v>
      </c>
      <c r="AJ9" s="9" t="s">
        <v>94</v>
      </c>
      <c r="AK9" s="9" t="s">
        <v>94</v>
      </c>
      <c r="AL9" s="9" t="s">
        <v>93</v>
      </c>
      <c r="AM9" s="9" t="s">
        <v>93</v>
      </c>
      <c r="AN9" s="9" t="s">
        <v>94</v>
      </c>
      <c r="AO9" s="9" t="s">
        <v>93</v>
      </c>
      <c r="AP9" s="9" t="s">
        <v>93</v>
      </c>
      <c r="AQ9" s="9" t="s">
        <v>94</v>
      </c>
      <c r="AR9" s="9" t="s">
        <v>94</v>
      </c>
      <c r="AS9" s="9" t="s">
        <v>94</v>
      </c>
      <c r="AT9" s="9" t="s">
        <v>94</v>
      </c>
      <c r="AU9" s="9" t="s">
        <v>93</v>
      </c>
      <c r="AV9" s="9" t="s">
        <v>93</v>
      </c>
      <c r="AW9" s="9" t="s">
        <v>94</v>
      </c>
      <c r="AX9" s="9" t="s">
        <v>94</v>
      </c>
      <c r="AY9" s="9" t="s">
        <v>93</v>
      </c>
      <c r="AZ9" s="9" t="s">
        <v>94</v>
      </c>
      <c r="BA9" s="9" t="s">
        <v>93</v>
      </c>
      <c r="BB9" s="9" t="s">
        <v>94</v>
      </c>
      <c r="BC9" s="11">
        <v>2</v>
      </c>
      <c r="BD9" s="11">
        <v>2</v>
      </c>
      <c r="BE9" s="11">
        <v>2</v>
      </c>
      <c r="BF9" s="11">
        <v>2</v>
      </c>
      <c r="BG9" s="11">
        <v>2</v>
      </c>
      <c r="BH9" s="11">
        <v>2</v>
      </c>
      <c r="BI9" s="11">
        <v>2</v>
      </c>
      <c r="BJ9" s="11">
        <v>3</v>
      </c>
      <c r="BK9" s="11">
        <v>3</v>
      </c>
      <c r="BL9" s="11">
        <v>3</v>
      </c>
      <c r="BM9" s="11">
        <v>5</v>
      </c>
      <c r="BN9" s="11">
        <v>5</v>
      </c>
      <c r="BO9" s="11">
        <v>4</v>
      </c>
      <c r="BP9" s="11">
        <v>4</v>
      </c>
      <c r="BQ9" s="11">
        <v>4</v>
      </c>
      <c r="BR9" s="11">
        <v>3</v>
      </c>
      <c r="BS9" s="11">
        <v>3</v>
      </c>
      <c r="BT9" s="11">
        <v>5</v>
      </c>
      <c r="BU9" s="11">
        <v>4</v>
      </c>
      <c r="BV9" s="11">
        <v>4</v>
      </c>
      <c r="BW9" s="11">
        <v>3</v>
      </c>
      <c r="BX9" s="11">
        <v>4</v>
      </c>
      <c r="BY9" s="11">
        <v>4</v>
      </c>
      <c r="BZ9" s="11">
        <v>4</v>
      </c>
      <c r="CA9" s="11">
        <v>3</v>
      </c>
      <c r="CB9" s="11">
        <v>4</v>
      </c>
      <c r="CC9" s="11">
        <v>3</v>
      </c>
      <c r="CD9" s="11">
        <v>5</v>
      </c>
      <c r="CE9" s="25" t="s">
        <v>627</v>
      </c>
      <c r="CF9" s="3">
        <v>10</v>
      </c>
      <c r="CG9" s="3">
        <v>23</v>
      </c>
      <c r="CH9" s="3">
        <v>71</v>
      </c>
      <c r="CI9" s="6">
        <f>COUNTIF(AG9:BB9, "Dispone")/22</f>
        <v>0.45454545454545453</v>
      </c>
      <c r="CJ9" s="7">
        <f>AVERAGE(BC9:BL9)</f>
        <v>2.2999999999999998</v>
      </c>
      <c r="CK9" s="15">
        <f>AVERAGE(BM9:CD9)</f>
        <v>3.9444444444444446</v>
      </c>
      <c r="CL9" s="9" t="str">
        <f>IF(AND(CI9&gt;50%, CJ9&gt;2.5, CK9&gt;2.5), "Compromiso", "")</f>
        <v/>
      </c>
      <c r="CM9" s="9" t="str">
        <f>IF(AND(CI9&gt;75%, CJ9&gt;4, CK9&gt;4), "Liderazgo", "")</f>
        <v/>
      </c>
      <c r="CN9" s="9" t="str">
        <f>IF(AND(CI9&gt;90%, CJ9&gt;4.5, CK9&gt;4.5), "Transformación", "")</f>
        <v/>
      </c>
      <c r="CO9" s="9" t="s">
        <v>581</v>
      </c>
      <c r="CP9" s="9" t="s">
        <v>146</v>
      </c>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row>
    <row r="10" spans="1:155" ht="17.25" customHeight="1" x14ac:dyDescent="0.25">
      <c r="A10" s="12">
        <v>45884.821203703701</v>
      </c>
      <c r="B10" s="12">
        <v>45898.903113425928</v>
      </c>
      <c r="C10" s="9" t="s">
        <v>96</v>
      </c>
      <c r="D10" s="9" t="s">
        <v>133</v>
      </c>
      <c r="E10" s="13">
        <v>1216677</v>
      </c>
      <c r="F10" s="9" t="s">
        <v>105</v>
      </c>
      <c r="G10" s="12">
        <v>45898.90313244213</v>
      </c>
      <c r="H10" s="9" t="s">
        <v>134</v>
      </c>
      <c r="I10" s="13">
        <v>-23.629300000000001</v>
      </c>
      <c r="J10" s="13">
        <v>-46.635100000000001</v>
      </c>
      <c r="K10" s="9" t="s">
        <v>113</v>
      </c>
      <c r="L10" s="9" t="s">
        <v>135</v>
      </c>
      <c r="M10" s="3" t="s">
        <v>875</v>
      </c>
      <c r="N10" s="9" t="s">
        <v>136</v>
      </c>
      <c r="O10" s="3" t="s">
        <v>137</v>
      </c>
      <c r="P10" s="9" t="s">
        <v>138</v>
      </c>
      <c r="Q10" s="9" t="s">
        <v>90</v>
      </c>
      <c r="R10" s="3">
        <v>1970</v>
      </c>
      <c r="S10" s="3">
        <v>893</v>
      </c>
      <c r="T10" s="3">
        <v>12.912000000000001</v>
      </c>
      <c r="U10" s="3">
        <v>3.157</v>
      </c>
      <c r="V10" s="3">
        <v>0</v>
      </c>
      <c r="W10" s="9" t="s">
        <v>91</v>
      </c>
      <c r="X10" s="3">
        <v>1</v>
      </c>
      <c r="Y10" s="9" t="s">
        <v>92</v>
      </c>
      <c r="Z10" s="3">
        <v>42</v>
      </c>
      <c r="AA10" s="3">
        <v>3279921</v>
      </c>
      <c r="AB10" s="3">
        <v>248</v>
      </c>
      <c r="AC10" s="3">
        <v>85</v>
      </c>
      <c r="AD10" s="3">
        <v>0</v>
      </c>
      <c r="AE10" s="3">
        <v>1</v>
      </c>
      <c r="AF10" s="3">
        <v>11560000</v>
      </c>
      <c r="AG10" s="9" t="s">
        <v>94</v>
      </c>
      <c r="AH10" s="9" t="s">
        <v>93</v>
      </c>
      <c r="AI10" s="9" t="s">
        <v>94</v>
      </c>
      <c r="AJ10" s="9" t="s">
        <v>93</v>
      </c>
      <c r="AK10" s="9" t="s">
        <v>93</v>
      </c>
      <c r="AL10" s="9" t="s">
        <v>93</v>
      </c>
      <c r="AM10" s="9" t="s">
        <v>93</v>
      </c>
      <c r="AN10" s="9" t="s">
        <v>93</v>
      </c>
      <c r="AO10" s="9" t="s">
        <v>93</v>
      </c>
      <c r="AP10" s="9" t="s">
        <v>94</v>
      </c>
      <c r="AQ10" s="9" t="s">
        <v>94</v>
      </c>
      <c r="AR10" s="9" t="s">
        <v>93</v>
      </c>
      <c r="AS10" s="9" t="s">
        <v>93</v>
      </c>
      <c r="AT10" s="9" t="s">
        <v>93</v>
      </c>
      <c r="AU10" s="9" t="s">
        <v>93</v>
      </c>
      <c r="AV10" s="9" t="s">
        <v>94</v>
      </c>
      <c r="AW10" s="9" t="s">
        <v>93</v>
      </c>
      <c r="AX10" s="9" t="s">
        <v>94</v>
      </c>
      <c r="AY10" s="9" t="s">
        <v>94</v>
      </c>
      <c r="AZ10" s="9" t="s">
        <v>94</v>
      </c>
      <c r="BA10" s="9" t="s">
        <v>93</v>
      </c>
      <c r="BB10" s="9" t="s">
        <v>93</v>
      </c>
      <c r="BC10" s="11">
        <v>4</v>
      </c>
      <c r="BD10" s="11">
        <v>5</v>
      </c>
      <c r="BE10" s="11">
        <v>1</v>
      </c>
      <c r="BF10" s="11">
        <v>2</v>
      </c>
      <c r="BG10" s="11">
        <v>5</v>
      </c>
      <c r="BH10" s="11">
        <v>5</v>
      </c>
      <c r="BI10" s="11">
        <v>4</v>
      </c>
      <c r="BJ10" s="11">
        <v>4</v>
      </c>
      <c r="BK10" s="11">
        <v>2</v>
      </c>
      <c r="BL10" s="11">
        <v>2</v>
      </c>
      <c r="BM10" s="11">
        <v>2</v>
      </c>
      <c r="BN10" s="11">
        <v>5</v>
      </c>
      <c r="BO10" s="11">
        <v>4</v>
      </c>
      <c r="BP10" s="11">
        <v>2</v>
      </c>
      <c r="BQ10" s="11">
        <v>4</v>
      </c>
      <c r="BR10" s="11">
        <v>5</v>
      </c>
      <c r="BS10" s="11">
        <v>5</v>
      </c>
      <c r="BT10" s="11">
        <v>2</v>
      </c>
      <c r="BU10" s="11">
        <v>2</v>
      </c>
      <c r="BV10" s="11">
        <v>2</v>
      </c>
      <c r="BW10" s="11">
        <v>5</v>
      </c>
      <c r="BX10" s="11">
        <v>3</v>
      </c>
      <c r="BY10" s="11">
        <v>5</v>
      </c>
      <c r="BZ10" s="11">
        <v>5</v>
      </c>
      <c r="CA10" s="11">
        <v>5</v>
      </c>
      <c r="CB10" s="11">
        <v>2</v>
      </c>
      <c r="CC10" s="11">
        <v>4</v>
      </c>
      <c r="CD10" s="11">
        <v>2</v>
      </c>
      <c r="CE10" s="9"/>
      <c r="CF10" s="3">
        <v>14</v>
      </c>
      <c r="CG10" s="3">
        <v>34</v>
      </c>
      <c r="CH10" s="3">
        <v>64</v>
      </c>
      <c r="CI10" s="6">
        <f>COUNTIF(AG10:BB10, "Dispone")/22</f>
        <v>0.63636363636363635</v>
      </c>
      <c r="CJ10" s="7">
        <f>AVERAGE(BC10:BL10)</f>
        <v>3.4</v>
      </c>
      <c r="CK10" s="15">
        <f>AVERAGE(BM10:CD10)</f>
        <v>3.5555555555555554</v>
      </c>
      <c r="CL10" s="9" t="str">
        <f>IF(AND(CI10&gt;50%, CJ10&gt;2.5, CK10&gt;2.5), "Compromiso", "")</f>
        <v>Compromiso</v>
      </c>
      <c r="CM10" s="9" t="str">
        <f>IF(AND(CI10&gt;75%, CJ10&gt;4, CK10&gt;4), "Liderazgo", "")</f>
        <v/>
      </c>
      <c r="CN10" s="9" t="str">
        <f>IF(AND(CI10&gt;90%, CJ10&gt;4.5, CK10&gt;4.5), "Transformación", "")</f>
        <v/>
      </c>
      <c r="CO10" s="9" t="s">
        <v>95</v>
      </c>
      <c r="CP10" s="9" t="s">
        <v>146</v>
      </c>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row>
    <row r="11" spans="1:155" ht="17.25" customHeight="1" x14ac:dyDescent="0.25">
      <c r="A11" s="12">
        <v>45943.588136574072</v>
      </c>
      <c r="B11" s="12">
        <v>45954.893495370372</v>
      </c>
      <c r="C11" s="9" t="s">
        <v>96</v>
      </c>
      <c r="D11" s="9" t="s">
        <v>417</v>
      </c>
      <c r="E11" s="13">
        <v>976783</v>
      </c>
      <c r="F11" s="9" t="s">
        <v>105</v>
      </c>
      <c r="G11" s="12">
        <v>45954.893510439812</v>
      </c>
      <c r="H11" s="9" t="s">
        <v>418</v>
      </c>
      <c r="I11" s="13">
        <v>-38.731499999999997</v>
      </c>
      <c r="J11" s="13">
        <v>-72.599199999999996</v>
      </c>
      <c r="K11" s="9" t="s">
        <v>98</v>
      </c>
      <c r="L11" s="9" t="s">
        <v>419</v>
      </c>
      <c r="M11" s="3" t="s">
        <v>107</v>
      </c>
      <c r="N11" s="9"/>
      <c r="O11" s="3" t="s">
        <v>907</v>
      </c>
      <c r="P11" s="9"/>
      <c r="Q11" s="9" t="s">
        <v>130</v>
      </c>
      <c r="W11" s="9"/>
      <c r="Y11" s="9"/>
      <c r="AG11" s="9" t="s">
        <v>94</v>
      </c>
      <c r="AH11" s="3" t="s">
        <v>93</v>
      </c>
      <c r="AI11" s="5"/>
      <c r="AJ11" s="9" t="s">
        <v>93</v>
      </c>
      <c r="AK11" s="9" t="s">
        <v>93</v>
      </c>
      <c r="AL11" s="9" t="s">
        <v>93</v>
      </c>
      <c r="AM11" s="9" t="s">
        <v>93</v>
      </c>
      <c r="AN11" s="9" t="s">
        <v>93</v>
      </c>
      <c r="AO11" s="9" t="s">
        <v>93</v>
      </c>
      <c r="AP11" s="9" t="s">
        <v>94</v>
      </c>
      <c r="AQ11" s="9" t="s">
        <v>93</v>
      </c>
      <c r="AR11" s="9" t="s">
        <v>94</v>
      </c>
      <c r="AS11" s="9" t="s">
        <v>93</v>
      </c>
      <c r="AT11" s="9" t="s">
        <v>94</v>
      </c>
      <c r="AU11" s="9" t="s">
        <v>93</v>
      </c>
      <c r="AV11" s="9" t="s">
        <v>93</v>
      </c>
      <c r="AW11" s="9" t="s">
        <v>93</v>
      </c>
      <c r="AX11" s="9" t="s">
        <v>94</v>
      </c>
      <c r="AY11" s="9" t="s">
        <v>93</v>
      </c>
      <c r="AZ11" s="9" t="s">
        <v>93</v>
      </c>
      <c r="BA11" s="9" t="s">
        <v>93</v>
      </c>
      <c r="BB11" s="9" t="s">
        <v>93</v>
      </c>
      <c r="BC11" s="11">
        <v>4</v>
      </c>
      <c r="BD11" s="11">
        <v>4</v>
      </c>
      <c r="BE11" s="11">
        <v>4</v>
      </c>
      <c r="BF11" s="11">
        <v>4</v>
      </c>
      <c r="BG11" s="11">
        <v>4</v>
      </c>
      <c r="BH11" s="11">
        <v>4</v>
      </c>
      <c r="BI11" s="11">
        <v>3</v>
      </c>
      <c r="BJ11" s="11">
        <v>4</v>
      </c>
      <c r="BK11" s="11">
        <v>4</v>
      </c>
      <c r="BL11" s="11">
        <v>4</v>
      </c>
      <c r="BM11" s="11">
        <v>4</v>
      </c>
      <c r="BN11" s="11">
        <v>4</v>
      </c>
      <c r="BO11" s="11">
        <v>4</v>
      </c>
      <c r="BP11" s="11">
        <v>3</v>
      </c>
      <c r="BQ11" s="11">
        <v>3</v>
      </c>
      <c r="BR11" s="11">
        <v>4</v>
      </c>
      <c r="BS11" s="11">
        <v>4</v>
      </c>
      <c r="BT11" s="11">
        <v>4</v>
      </c>
      <c r="BU11" s="11">
        <v>4</v>
      </c>
      <c r="BV11" s="11">
        <v>4</v>
      </c>
      <c r="BW11" s="11">
        <v>3</v>
      </c>
      <c r="BX11" s="11">
        <v>4</v>
      </c>
      <c r="BY11" s="11">
        <v>4</v>
      </c>
      <c r="BZ11" s="11">
        <v>4</v>
      </c>
      <c r="CA11" s="11">
        <v>4</v>
      </c>
      <c r="CB11" s="11">
        <v>4</v>
      </c>
      <c r="CC11" s="11">
        <v>4</v>
      </c>
      <c r="CD11" s="11">
        <v>4</v>
      </c>
      <c r="CE11" s="9"/>
      <c r="CF11" s="3">
        <f>COUNTIF(AG11:BB11, "Dispone")</f>
        <v>16</v>
      </c>
      <c r="CG11" s="3">
        <v>39</v>
      </c>
      <c r="CH11" s="11">
        <f>SUM(BM11:CD11)</f>
        <v>69</v>
      </c>
      <c r="CI11" s="6">
        <f>COUNTIF(AG11:BB11, "Dispone")/22</f>
        <v>0.72727272727272729</v>
      </c>
      <c r="CJ11" s="7">
        <f>AVERAGE(BC11:BL11)</f>
        <v>3.9</v>
      </c>
      <c r="CK11" s="15">
        <f>AVERAGE(BM11:CD11)</f>
        <v>3.8333333333333335</v>
      </c>
      <c r="CL11" s="9" t="str">
        <f>IF(AND(CI11&gt;50%, CJ11&gt;2.5, CK11&gt;2.5), "Compromiso", "")</f>
        <v>Compromiso</v>
      </c>
      <c r="CM11" s="9" t="str">
        <f>IF(AND(CI11&gt;75%, CJ11&gt;4, CK11&gt;4), "Liderazgo", "")</f>
        <v/>
      </c>
      <c r="CN11" s="9" t="str">
        <f>IF(AND(CI11&gt;90%, CJ11&gt;4.5, CK11&gt;4.5), "Transformación", "")</f>
        <v/>
      </c>
      <c r="CO11" s="9" t="s">
        <v>95</v>
      </c>
      <c r="CP11" s="9" t="s">
        <v>95</v>
      </c>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row>
    <row r="12" spans="1:155" ht="17.25" customHeight="1" x14ac:dyDescent="0.25">
      <c r="A12" s="12">
        <v>45937.907997685186</v>
      </c>
      <c r="B12" s="12">
        <v>45947.042870370373</v>
      </c>
      <c r="C12" s="9" t="s">
        <v>96</v>
      </c>
      <c r="D12" s="9" t="s">
        <v>595</v>
      </c>
      <c r="E12" s="13">
        <v>789253</v>
      </c>
      <c r="F12" s="9" t="s">
        <v>105</v>
      </c>
      <c r="G12" s="12">
        <v>45947.042884085648</v>
      </c>
      <c r="H12" s="9" t="s">
        <v>596</v>
      </c>
      <c r="I12" s="13">
        <v>-12.045999999999999</v>
      </c>
      <c r="J12" s="13">
        <v>-77.030500000000004</v>
      </c>
      <c r="K12" s="9" t="s">
        <v>98</v>
      </c>
      <c r="L12" s="9" t="s">
        <v>597</v>
      </c>
      <c r="M12" s="3" t="s">
        <v>598</v>
      </c>
      <c r="N12" s="9" t="s">
        <v>599</v>
      </c>
      <c r="O12" s="3" t="s">
        <v>908</v>
      </c>
      <c r="P12" s="14" t="s">
        <v>1011</v>
      </c>
      <c r="Q12" s="9" t="s">
        <v>130</v>
      </c>
      <c r="R12" s="3">
        <v>2008</v>
      </c>
      <c r="S12" s="3">
        <v>3.694</v>
      </c>
      <c r="T12" s="3">
        <v>0</v>
      </c>
      <c r="U12" s="3">
        <v>70.900000000000006</v>
      </c>
      <c r="V12" s="3">
        <v>240</v>
      </c>
      <c r="W12" s="9" t="s">
        <v>91</v>
      </c>
      <c r="X12" s="3">
        <v>36.869999999999997</v>
      </c>
      <c r="Y12" s="9" t="s">
        <v>92</v>
      </c>
      <c r="Z12" s="3">
        <v>1</v>
      </c>
      <c r="AA12" s="3">
        <v>2150205</v>
      </c>
      <c r="AB12" s="3">
        <v>0</v>
      </c>
      <c r="AC12" s="3">
        <v>45</v>
      </c>
      <c r="AD12" s="3">
        <v>29395</v>
      </c>
      <c r="AE12" s="3">
        <v>7</v>
      </c>
      <c r="AF12" s="3">
        <v>72130</v>
      </c>
      <c r="AG12" s="9" t="s">
        <v>93</v>
      </c>
      <c r="AH12" s="9" t="s">
        <v>94</v>
      </c>
      <c r="AI12" s="9" t="s">
        <v>94</v>
      </c>
      <c r="AJ12" s="9" t="s">
        <v>93</v>
      </c>
      <c r="AK12" s="9" t="s">
        <v>93</v>
      </c>
      <c r="AL12" s="9" t="s">
        <v>93</v>
      </c>
      <c r="AM12" s="9" t="s">
        <v>93</v>
      </c>
      <c r="AN12" s="9" t="s">
        <v>93</v>
      </c>
      <c r="AO12" s="9" t="s">
        <v>93</v>
      </c>
      <c r="AP12" s="9" t="s">
        <v>93</v>
      </c>
      <c r="AQ12" s="9" t="s">
        <v>94</v>
      </c>
      <c r="AR12" s="9" t="s">
        <v>93</v>
      </c>
      <c r="AS12" s="9" t="s">
        <v>93</v>
      </c>
      <c r="AT12" s="9" t="s">
        <v>94</v>
      </c>
      <c r="AU12" s="9" t="s">
        <v>94</v>
      </c>
      <c r="AV12" s="9" t="s">
        <v>94</v>
      </c>
      <c r="AW12" s="9" t="s">
        <v>93</v>
      </c>
      <c r="AX12" s="9" t="s">
        <v>94</v>
      </c>
      <c r="AY12" s="9" t="s">
        <v>93</v>
      </c>
      <c r="AZ12" s="9" t="s">
        <v>94</v>
      </c>
      <c r="BA12" s="9" t="s">
        <v>93</v>
      </c>
      <c r="BB12" s="9" t="s">
        <v>93</v>
      </c>
      <c r="BC12" s="11">
        <v>2</v>
      </c>
      <c r="BD12" s="11">
        <v>2</v>
      </c>
      <c r="BE12" s="11">
        <v>2</v>
      </c>
      <c r="BF12" s="11">
        <v>2</v>
      </c>
      <c r="BG12" s="11">
        <v>4</v>
      </c>
      <c r="BH12" s="11">
        <v>4</v>
      </c>
      <c r="BI12" s="11">
        <v>2</v>
      </c>
      <c r="BJ12" s="11">
        <v>2</v>
      </c>
      <c r="BK12" s="11">
        <v>3</v>
      </c>
      <c r="BL12" s="11">
        <v>2</v>
      </c>
      <c r="BM12" s="11">
        <v>3</v>
      </c>
      <c r="BN12" s="11">
        <v>4</v>
      </c>
      <c r="BO12" s="11">
        <v>4</v>
      </c>
      <c r="BP12" s="11">
        <v>3</v>
      </c>
      <c r="BQ12" s="11">
        <v>3</v>
      </c>
      <c r="BR12" s="11">
        <v>2</v>
      </c>
      <c r="BS12" s="11">
        <v>3</v>
      </c>
      <c r="BT12" s="11">
        <v>4</v>
      </c>
      <c r="BU12" s="11">
        <v>3</v>
      </c>
      <c r="BV12" s="11">
        <v>3</v>
      </c>
      <c r="BW12" s="11">
        <v>4</v>
      </c>
      <c r="BX12" s="11">
        <v>2</v>
      </c>
      <c r="BY12" s="11">
        <v>5</v>
      </c>
      <c r="BZ12" s="11">
        <v>5</v>
      </c>
      <c r="CA12" s="11">
        <v>5</v>
      </c>
      <c r="CB12" s="11">
        <v>5</v>
      </c>
      <c r="CC12" s="11">
        <v>5</v>
      </c>
      <c r="CD12" s="11">
        <v>5</v>
      </c>
      <c r="CE12" s="9"/>
      <c r="CF12" s="3">
        <v>14</v>
      </c>
      <c r="CG12" s="3">
        <v>25</v>
      </c>
      <c r="CH12" s="3">
        <v>68</v>
      </c>
      <c r="CI12" s="6">
        <f>COUNTIF(AG12:BB12, "Dispone")/22</f>
        <v>0.63636363636363635</v>
      </c>
      <c r="CJ12" s="7">
        <f>AVERAGE(BC12:BL12)</f>
        <v>2.5</v>
      </c>
      <c r="CK12" s="15">
        <f>AVERAGE(BM12:CD12)</f>
        <v>3.7777777777777777</v>
      </c>
      <c r="CL12" s="9" t="str">
        <f>IF(AND(CI12&gt;50%, CJ12&gt;2.5, CK12&gt;2.5), "Compromiso", "")</f>
        <v/>
      </c>
      <c r="CM12" s="9" t="str">
        <f>IF(AND(CI12&gt;75%, CJ12&gt;4, CK12&gt;4), "Liderazgo", "")</f>
        <v/>
      </c>
      <c r="CN12" s="9" t="str">
        <f>IF(AND(CI12&gt;90%, CJ12&gt;4.5, CK12&gt;4.5), "Transformación", "")</f>
        <v/>
      </c>
      <c r="CO12" s="9" t="s">
        <v>581</v>
      </c>
      <c r="CP12" s="9" t="s">
        <v>103</v>
      </c>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c r="DY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row>
    <row r="13" spans="1:155" ht="17.25" customHeight="1" x14ac:dyDescent="0.25">
      <c r="A13" s="16">
        <v>45988.631944444445</v>
      </c>
      <c r="B13" s="10">
        <v>45996.727083333331</v>
      </c>
      <c r="C13" s="3" t="s">
        <v>96</v>
      </c>
      <c r="D13" s="3" t="s">
        <v>174</v>
      </c>
      <c r="E13" s="3">
        <v>699435</v>
      </c>
      <c r="F13" s="3" t="b">
        <v>1</v>
      </c>
      <c r="G13" s="10">
        <v>45996.727083333331</v>
      </c>
      <c r="H13" s="3" t="s">
        <v>175</v>
      </c>
      <c r="I13" s="3">
        <v>3.3099999999999997E-2</v>
      </c>
      <c r="J13" s="3">
        <v>-51.063400000000001</v>
      </c>
      <c r="K13" s="3" t="s">
        <v>113</v>
      </c>
      <c r="L13" s="3" t="s">
        <v>176</v>
      </c>
      <c r="M13" s="3" t="s">
        <v>177</v>
      </c>
      <c r="N13" s="3" t="s">
        <v>178</v>
      </c>
      <c r="O13" s="3" t="s">
        <v>909</v>
      </c>
      <c r="P13" s="3" t="s">
        <v>179</v>
      </c>
      <c r="Q13" s="3" t="s">
        <v>90</v>
      </c>
      <c r="R13" s="3">
        <v>1909</v>
      </c>
      <c r="S13" s="3">
        <v>84397</v>
      </c>
      <c r="T13" s="3">
        <v>25757</v>
      </c>
      <c r="U13" s="3">
        <v>1697</v>
      </c>
      <c r="V13" s="3">
        <v>0</v>
      </c>
      <c r="W13" s="3" t="s">
        <v>118</v>
      </c>
      <c r="X13" s="3">
        <v>0</v>
      </c>
      <c r="Y13" s="3" t="s">
        <v>92</v>
      </c>
      <c r="Z13" s="3">
        <v>20</v>
      </c>
      <c r="AA13" s="3">
        <v>6009010</v>
      </c>
      <c r="AB13" s="3">
        <v>0</v>
      </c>
      <c r="AC13" s="3">
        <v>0</v>
      </c>
      <c r="AD13" s="3">
        <v>23311</v>
      </c>
      <c r="AE13" s="3">
        <v>0</v>
      </c>
      <c r="AF13" s="3">
        <v>0</v>
      </c>
      <c r="AG13" s="3" t="s">
        <v>94</v>
      </c>
      <c r="AH13" s="3" t="s">
        <v>93</v>
      </c>
      <c r="AI13" s="3" t="s">
        <v>93</v>
      </c>
      <c r="AJ13" s="3" t="s">
        <v>93</v>
      </c>
      <c r="AK13" s="3" t="s">
        <v>93</v>
      </c>
      <c r="AL13" s="3" t="s">
        <v>93</v>
      </c>
      <c r="AM13" s="3" t="s">
        <v>93</v>
      </c>
      <c r="AN13" s="3" t="s">
        <v>94</v>
      </c>
      <c r="AO13" s="3" t="s">
        <v>93</v>
      </c>
      <c r="AP13" s="3" t="s">
        <v>93</v>
      </c>
      <c r="AQ13" s="3" t="s">
        <v>93</v>
      </c>
      <c r="AR13" s="3" t="s">
        <v>93</v>
      </c>
      <c r="AS13" s="3" t="s">
        <v>93</v>
      </c>
      <c r="AT13" s="3" t="s">
        <v>94</v>
      </c>
      <c r="AU13" s="3" t="s">
        <v>93</v>
      </c>
      <c r="AV13" s="3" t="s">
        <v>93</v>
      </c>
      <c r="AW13" s="3" t="s">
        <v>94</v>
      </c>
      <c r="AX13" s="3" t="s">
        <v>94</v>
      </c>
      <c r="AY13" s="3" t="s">
        <v>94</v>
      </c>
      <c r="AZ13" s="3" t="s">
        <v>93</v>
      </c>
      <c r="BA13" s="3" t="s">
        <v>93</v>
      </c>
      <c r="BB13" s="3" t="s">
        <v>93</v>
      </c>
      <c r="BC13" s="3">
        <v>2</v>
      </c>
      <c r="BD13" s="3">
        <v>3</v>
      </c>
      <c r="BE13" s="3">
        <v>3</v>
      </c>
      <c r="BF13" s="3">
        <v>3</v>
      </c>
      <c r="BG13" s="3">
        <v>3</v>
      </c>
      <c r="BH13" s="3">
        <v>3</v>
      </c>
      <c r="BI13" s="3">
        <v>3</v>
      </c>
      <c r="BJ13" s="3">
        <v>3</v>
      </c>
      <c r="BK13" s="3">
        <v>2</v>
      </c>
      <c r="BL13" s="3">
        <v>1</v>
      </c>
      <c r="BM13" s="3">
        <v>5</v>
      </c>
      <c r="BN13" s="3">
        <v>4</v>
      </c>
      <c r="BO13" s="3">
        <v>4</v>
      </c>
      <c r="BP13" s="3">
        <v>4</v>
      </c>
      <c r="BQ13" s="3">
        <v>4</v>
      </c>
      <c r="BR13" s="3">
        <v>5</v>
      </c>
      <c r="BS13" s="3">
        <v>5</v>
      </c>
      <c r="BT13" s="3">
        <v>5</v>
      </c>
      <c r="BU13" s="3">
        <v>3</v>
      </c>
      <c r="BV13" s="3">
        <v>2</v>
      </c>
      <c r="BW13" s="3">
        <v>4</v>
      </c>
      <c r="BX13" s="3">
        <v>4</v>
      </c>
      <c r="BY13" s="3">
        <v>5</v>
      </c>
      <c r="BZ13" s="3">
        <v>5</v>
      </c>
      <c r="CA13" s="3">
        <v>5</v>
      </c>
      <c r="CB13" s="3">
        <v>5</v>
      </c>
      <c r="CC13" s="3">
        <v>5</v>
      </c>
      <c r="CD13" s="3">
        <v>5</v>
      </c>
      <c r="CF13" s="3">
        <v>16</v>
      </c>
      <c r="CG13" s="3">
        <v>26</v>
      </c>
      <c r="CH13" s="3">
        <v>79</v>
      </c>
      <c r="CI13" s="6">
        <f>COUNTIF(AG13:BB13, "Dispone")/22</f>
        <v>0.72727272727272729</v>
      </c>
      <c r="CJ13" s="7">
        <f>AVERAGE(BC13:BL13)</f>
        <v>2.6</v>
      </c>
      <c r="CK13" s="15">
        <f>AVERAGE(BM13:CD13)</f>
        <v>4.3888888888888893</v>
      </c>
      <c r="CL13" s="9" t="str">
        <f>IF(AND(CI13&gt;50%, CJ13&gt;2.5, CK13&gt;2.5), "Compromiso", "")</f>
        <v>Compromiso</v>
      </c>
      <c r="CM13" s="9" t="str">
        <f>IF(AND(CI13&gt;75%, CJ13&gt;4, CK13&gt;4), "Liderazgo", "")</f>
        <v/>
      </c>
      <c r="CN13" s="9" t="str">
        <f>IF(AND(CI13&gt;90%, CJ13&gt;4.5, CK13&gt;4.5), "Transformación", "")</f>
        <v/>
      </c>
      <c r="CO13" s="9" t="s">
        <v>95</v>
      </c>
      <c r="CP13" s="9" t="s">
        <v>103</v>
      </c>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row>
    <row r="14" spans="1:155" ht="17.25" customHeight="1" x14ac:dyDescent="0.25">
      <c r="A14" s="16">
        <v>45953.82916666667</v>
      </c>
      <c r="B14" s="16">
        <v>45961.811111111114</v>
      </c>
      <c r="C14" s="3" t="s">
        <v>96</v>
      </c>
      <c r="D14" s="11">
        <v>190210250192</v>
      </c>
      <c r="E14" s="3">
        <v>693243</v>
      </c>
      <c r="F14" s="3" t="b">
        <v>1</v>
      </c>
      <c r="G14" s="16">
        <v>45961.811111111114</v>
      </c>
      <c r="H14" s="3" t="s">
        <v>684</v>
      </c>
      <c r="I14" s="3">
        <v>-34.604900000000001</v>
      </c>
      <c r="J14" s="3">
        <v>-58.445500000000003</v>
      </c>
      <c r="K14" s="3" t="s">
        <v>98</v>
      </c>
      <c r="L14" s="3" t="s">
        <v>685</v>
      </c>
      <c r="M14" s="3" t="s">
        <v>686</v>
      </c>
      <c r="N14" s="3" t="s">
        <v>687</v>
      </c>
      <c r="O14" s="3" t="s">
        <v>1006</v>
      </c>
      <c r="P14" s="3">
        <v>3134568263</v>
      </c>
      <c r="Q14" s="3" t="s">
        <v>102</v>
      </c>
      <c r="R14" s="3">
        <v>1971</v>
      </c>
      <c r="S14" s="3">
        <v>50</v>
      </c>
      <c r="T14" s="3">
        <v>82</v>
      </c>
      <c r="U14" s="3">
        <v>0</v>
      </c>
      <c r="V14" s="3">
        <v>0</v>
      </c>
      <c r="W14" s="3" t="s">
        <v>91</v>
      </c>
      <c r="X14" s="3">
        <v>0</v>
      </c>
      <c r="Y14" s="3" t="s">
        <v>92</v>
      </c>
      <c r="Z14" s="3">
        <v>2</v>
      </c>
      <c r="AA14" s="3">
        <v>0</v>
      </c>
      <c r="AB14" s="3">
        <v>0</v>
      </c>
      <c r="AC14" s="3">
        <v>0</v>
      </c>
      <c r="AD14" s="3">
        <v>0</v>
      </c>
      <c r="AE14" s="3">
        <v>0</v>
      </c>
      <c r="AF14" s="3">
        <v>0</v>
      </c>
      <c r="AG14" s="3" t="s">
        <v>93</v>
      </c>
      <c r="AH14" s="3" t="s">
        <v>93</v>
      </c>
      <c r="AI14" s="3" t="s">
        <v>94</v>
      </c>
      <c r="AJ14" s="3" t="s">
        <v>93</v>
      </c>
      <c r="AK14" s="3" t="s">
        <v>93</v>
      </c>
      <c r="AL14" s="3" t="s">
        <v>93</v>
      </c>
      <c r="AM14" s="3" t="s">
        <v>94</v>
      </c>
      <c r="AN14" s="3" t="s">
        <v>93</v>
      </c>
      <c r="AO14" s="3" t="s">
        <v>93</v>
      </c>
      <c r="AP14" s="3" t="s">
        <v>94</v>
      </c>
      <c r="AQ14" s="3" t="s">
        <v>94</v>
      </c>
      <c r="AR14" s="3" t="s">
        <v>93</v>
      </c>
      <c r="AS14" s="3" t="s">
        <v>93</v>
      </c>
      <c r="AT14" s="3" t="s">
        <v>93</v>
      </c>
      <c r="AU14" s="3" t="s">
        <v>94</v>
      </c>
      <c r="AV14" s="3" t="s">
        <v>93</v>
      </c>
      <c r="AW14" s="3" t="s">
        <v>94</v>
      </c>
      <c r="AX14" s="3" t="s">
        <v>94</v>
      </c>
      <c r="AY14" s="3" t="s">
        <v>94</v>
      </c>
      <c r="AZ14" s="3" t="s">
        <v>94</v>
      </c>
      <c r="BA14" s="3" t="s">
        <v>93</v>
      </c>
      <c r="BB14" s="3" t="s">
        <v>93</v>
      </c>
      <c r="BC14" s="3">
        <v>2</v>
      </c>
      <c r="BD14" s="3">
        <v>2</v>
      </c>
      <c r="BE14" s="3">
        <v>2</v>
      </c>
      <c r="BF14" s="3">
        <v>2</v>
      </c>
      <c r="BG14" s="3">
        <v>2</v>
      </c>
      <c r="BH14" s="3">
        <v>2</v>
      </c>
      <c r="BI14" s="3">
        <v>1</v>
      </c>
      <c r="BJ14" s="3">
        <v>2</v>
      </c>
      <c r="BK14" s="3">
        <v>3</v>
      </c>
      <c r="BL14" s="3">
        <v>3</v>
      </c>
      <c r="BM14" s="3">
        <v>5</v>
      </c>
      <c r="BN14" s="3">
        <v>5</v>
      </c>
      <c r="BO14" s="3">
        <v>2</v>
      </c>
      <c r="BP14" s="3">
        <v>2</v>
      </c>
      <c r="BQ14" s="3">
        <v>2</v>
      </c>
      <c r="BR14" s="3">
        <v>2</v>
      </c>
      <c r="BS14" s="3">
        <v>2</v>
      </c>
      <c r="BT14" s="3">
        <v>5</v>
      </c>
      <c r="BU14" s="3">
        <v>3</v>
      </c>
      <c r="BV14" s="3">
        <v>2</v>
      </c>
      <c r="BW14" s="3">
        <v>2</v>
      </c>
      <c r="BX14" s="3">
        <v>2</v>
      </c>
      <c r="BY14" s="3">
        <v>5</v>
      </c>
      <c r="BZ14" s="3">
        <v>5</v>
      </c>
      <c r="CA14" s="3">
        <v>5</v>
      </c>
      <c r="CB14" s="3">
        <v>5</v>
      </c>
      <c r="CC14" s="3">
        <v>5</v>
      </c>
      <c r="CD14" s="3">
        <v>5</v>
      </c>
      <c r="CF14" s="3">
        <v>13</v>
      </c>
      <c r="CG14" s="3">
        <v>21</v>
      </c>
      <c r="CH14" s="3">
        <v>64</v>
      </c>
      <c r="CI14" s="6">
        <f>COUNTIF(AG14:BB14, "Dispone")/22</f>
        <v>0.59090909090909094</v>
      </c>
      <c r="CJ14" s="7">
        <f>AVERAGE(BC14:BL14)</f>
        <v>2.1</v>
      </c>
      <c r="CK14" s="15">
        <f>AVERAGE(BM14:CD14)</f>
        <v>3.5555555555555554</v>
      </c>
      <c r="CL14" s="9" t="str">
        <f>IF(AND(CI14&gt;50%, CJ14&gt;2.5, CK14&gt;2.5), "Compromiso", "")</f>
        <v/>
      </c>
      <c r="CM14" s="9" t="str">
        <f>IF(AND(CI14&gt;75%, CJ14&gt;4, CK14&gt;4), "Liderazgo", "")</f>
        <v/>
      </c>
      <c r="CN14" s="9" t="str">
        <f>IF(AND(CI14&gt;90%, CJ14&gt;4.5, CK14&gt;4.5), "Transformación", "")</f>
        <v/>
      </c>
      <c r="CO14" s="9" t="s">
        <v>581</v>
      </c>
      <c r="CP14" s="9" t="s">
        <v>95</v>
      </c>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c r="DY14" s="9"/>
      <c r="DZ14" s="9"/>
      <c r="EA14" s="9"/>
      <c r="EB14" s="9"/>
      <c r="EC14" s="9"/>
      <c r="ED14" s="9"/>
      <c r="EE14" s="9"/>
      <c r="EF14" s="9"/>
      <c r="EG14" s="9"/>
      <c r="EH14" s="9"/>
      <c r="EI14" s="9"/>
      <c r="EJ14" s="9"/>
      <c r="EK14" s="9"/>
      <c r="EL14" s="9"/>
      <c r="EM14" s="9"/>
      <c r="EN14" s="9"/>
      <c r="EO14" s="9"/>
      <c r="EP14" s="9"/>
      <c r="EQ14" s="9"/>
      <c r="ER14" s="9"/>
      <c r="ES14" s="9"/>
      <c r="ET14" s="9"/>
      <c r="EU14" s="9"/>
      <c r="EV14" s="9"/>
      <c r="EW14" s="9"/>
      <c r="EX14" s="9"/>
      <c r="EY14" s="9"/>
    </row>
    <row r="15" spans="1:155" ht="17.25" customHeight="1" x14ac:dyDescent="0.25">
      <c r="A15" s="16">
        <v>45973.899305555555</v>
      </c>
      <c r="B15" s="16">
        <v>45981.756944444445</v>
      </c>
      <c r="C15" s="3" t="s">
        <v>96</v>
      </c>
      <c r="D15" s="11">
        <v>103219169183</v>
      </c>
      <c r="E15" s="3">
        <v>678927</v>
      </c>
      <c r="F15" s="3" t="b">
        <v>1</v>
      </c>
      <c r="G15" s="16">
        <v>45981.756944444445</v>
      </c>
      <c r="H15" s="3" t="s">
        <v>569</v>
      </c>
      <c r="I15" s="3">
        <v>4.6351000000000004</v>
      </c>
      <c r="J15" s="3">
        <v>-74.070400000000006</v>
      </c>
      <c r="K15" s="3" t="s">
        <v>98</v>
      </c>
      <c r="L15" s="3" t="s">
        <v>570</v>
      </c>
      <c r="M15" s="3" t="s">
        <v>107</v>
      </c>
      <c r="O15" s="3" t="s">
        <v>907</v>
      </c>
      <c r="Q15" s="3" t="s">
        <v>130</v>
      </c>
      <c r="AF15" s="17"/>
      <c r="AG15" s="3" t="s">
        <v>93</v>
      </c>
      <c r="AH15" s="3" t="s">
        <v>93</v>
      </c>
      <c r="AJ15" s="3" t="s">
        <v>93</v>
      </c>
      <c r="AK15" s="3" t="s">
        <v>93</v>
      </c>
      <c r="AL15" s="3" t="s">
        <v>93</v>
      </c>
      <c r="AM15" s="3" t="s">
        <v>93</v>
      </c>
      <c r="AN15" s="3" t="s">
        <v>94</v>
      </c>
      <c r="AO15" s="3" t="s">
        <v>93</v>
      </c>
      <c r="AP15" s="3" t="s">
        <v>93</v>
      </c>
      <c r="AQ15" s="3" t="s">
        <v>93</v>
      </c>
      <c r="AR15" s="3" t="s">
        <v>93</v>
      </c>
      <c r="AS15" s="3" t="s">
        <v>93</v>
      </c>
      <c r="AT15" s="3" t="s">
        <v>93</v>
      </c>
      <c r="AU15" s="3" t="s">
        <v>93</v>
      </c>
      <c r="AV15" s="3" t="s">
        <v>93</v>
      </c>
      <c r="AW15" s="3" t="s">
        <v>93</v>
      </c>
      <c r="AX15" s="3" t="s">
        <v>94</v>
      </c>
      <c r="AY15" s="3" t="s">
        <v>93</v>
      </c>
      <c r="AZ15" s="3" t="s">
        <v>93</v>
      </c>
      <c r="BA15" s="3" t="s">
        <v>93</v>
      </c>
      <c r="BB15" s="3" t="s">
        <v>93</v>
      </c>
      <c r="BC15" s="3">
        <v>5</v>
      </c>
      <c r="BD15" s="3">
        <v>5</v>
      </c>
      <c r="BE15" s="3">
        <v>5</v>
      </c>
      <c r="BF15" s="3">
        <v>5</v>
      </c>
      <c r="BG15" s="3">
        <v>4</v>
      </c>
      <c r="BH15" s="3">
        <v>5</v>
      </c>
      <c r="BI15" s="3">
        <v>2</v>
      </c>
      <c r="BJ15" s="3">
        <v>4</v>
      </c>
      <c r="BK15" s="3">
        <v>5</v>
      </c>
      <c r="BL15" s="3">
        <v>4</v>
      </c>
      <c r="BM15" s="3">
        <v>5</v>
      </c>
      <c r="BN15" s="3">
        <v>5</v>
      </c>
      <c r="BO15" s="3">
        <v>4</v>
      </c>
      <c r="BP15" s="3">
        <v>2</v>
      </c>
      <c r="BQ15" s="3">
        <v>5</v>
      </c>
      <c r="BR15" s="3">
        <v>5</v>
      </c>
      <c r="BS15" s="3">
        <v>5</v>
      </c>
      <c r="BT15" s="3">
        <v>3</v>
      </c>
      <c r="BU15" s="3">
        <v>3</v>
      </c>
      <c r="BV15" s="3">
        <v>5</v>
      </c>
      <c r="BW15" s="3">
        <v>5</v>
      </c>
      <c r="BX15" s="3">
        <v>3</v>
      </c>
      <c r="BY15" s="3">
        <v>5</v>
      </c>
      <c r="BZ15" s="3">
        <v>5</v>
      </c>
      <c r="CA15" s="3">
        <v>5</v>
      </c>
      <c r="CB15" s="3">
        <v>5</v>
      </c>
      <c r="CC15" s="3">
        <v>5</v>
      </c>
      <c r="CD15" s="3">
        <v>5</v>
      </c>
      <c r="CF15" s="3">
        <f>COUNTIF(AG15:BB15, "Dispone")</f>
        <v>19</v>
      </c>
      <c r="CG15" s="3">
        <v>44</v>
      </c>
      <c r="CH15" s="3">
        <f>SUM(BM15:CD15)</f>
        <v>80</v>
      </c>
      <c r="CI15" s="6">
        <f>COUNTIF(AG15:BB15, "Dispone")/22</f>
        <v>0.86363636363636365</v>
      </c>
      <c r="CJ15" s="7">
        <f>AVERAGE(BC15:BL15)</f>
        <v>4.4000000000000004</v>
      </c>
      <c r="CK15" s="8">
        <f>AVERAGE(BM15:CD15)</f>
        <v>4.4444444444444446</v>
      </c>
      <c r="CL15" s="9" t="str">
        <f>IF(AND(CI15&gt;50%, CJ15&gt;2.5, CK15&gt;2.5), "Compromiso", "")</f>
        <v>Compromiso</v>
      </c>
      <c r="CM15" s="9" t="str">
        <f>IF(AND(CI15&gt;75%, CJ15&gt;4, CK15&gt;4), "Liderazgo", "")</f>
        <v>Liderazgo</v>
      </c>
      <c r="CN15" s="9" t="str">
        <f>IF(AND(CI15&gt;90%, CJ15&gt;4.5, CK15&gt;4.5), "Transformación", "")</f>
        <v/>
      </c>
      <c r="CO15" s="9" t="s">
        <v>103</v>
      </c>
      <c r="CP15" s="9" t="s">
        <v>146</v>
      </c>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c r="DY15" s="9"/>
      <c r="DZ15" s="9"/>
      <c r="EA15" s="9"/>
      <c r="EB15" s="9"/>
      <c r="EC15" s="9"/>
      <c r="ED15" s="9"/>
      <c r="EE15" s="9"/>
      <c r="EF15" s="9"/>
      <c r="EG15" s="9"/>
      <c r="EH15" s="9"/>
      <c r="EI15" s="9"/>
      <c r="EJ15" s="9"/>
      <c r="EK15" s="9"/>
      <c r="EL15" s="9"/>
      <c r="EM15" s="9"/>
      <c r="EN15" s="9"/>
      <c r="EO15" s="9"/>
      <c r="EP15" s="9"/>
      <c r="EQ15" s="9"/>
      <c r="ER15" s="9"/>
      <c r="ES15" s="9"/>
      <c r="ET15" s="9"/>
      <c r="EU15" s="9"/>
      <c r="EV15" s="9"/>
      <c r="EW15" s="9"/>
      <c r="EX15" s="9"/>
      <c r="EY15" s="9"/>
    </row>
    <row r="16" spans="1:155" ht="17.25" customHeight="1" x14ac:dyDescent="0.25">
      <c r="A16" s="12">
        <v>45923.030069444445</v>
      </c>
      <c r="B16" s="12">
        <v>45930.116041666668</v>
      </c>
      <c r="C16" s="9" t="s">
        <v>96</v>
      </c>
      <c r="D16" s="9" t="s">
        <v>703</v>
      </c>
      <c r="E16" s="13">
        <v>612228</v>
      </c>
      <c r="F16" s="9" t="s">
        <v>105</v>
      </c>
      <c r="G16" s="12">
        <v>45930.116054421298</v>
      </c>
      <c r="H16" s="9" t="s">
        <v>704</v>
      </c>
      <c r="I16" s="13">
        <v>-36</v>
      </c>
      <c r="J16" s="13">
        <v>-59.996400000000001</v>
      </c>
      <c r="K16" s="9" t="s">
        <v>98</v>
      </c>
      <c r="L16" s="9" t="s">
        <v>705</v>
      </c>
      <c r="M16" s="3" t="s">
        <v>706</v>
      </c>
      <c r="N16" s="9" t="s">
        <v>707</v>
      </c>
      <c r="O16" s="3" t="s">
        <v>910</v>
      </c>
      <c r="P16" s="9" t="s">
        <v>708</v>
      </c>
      <c r="Q16" s="9" t="s">
        <v>102</v>
      </c>
      <c r="R16" s="3">
        <v>1886</v>
      </c>
      <c r="S16" s="3">
        <v>2019</v>
      </c>
      <c r="T16" s="3">
        <v>11467</v>
      </c>
      <c r="U16" s="3">
        <v>292</v>
      </c>
      <c r="V16" s="3">
        <v>67</v>
      </c>
      <c r="W16" s="9" t="s">
        <v>91</v>
      </c>
      <c r="X16" s="3">
        <v>1.51</v>
      </c>
      <c r="Y16" s="9" t="s">
        <v>153</v>
      </c>
      <c r="Z16" s="3">
        <v>31</v>
      </c>
      <c r="AA16" s="3">
        <v>3006862</v>
      </c>
      <c r="AB16" s="3">
        <v>679</v>
      </c>
      <c r="AC16" s="3">
        <v>187600</v>
      </c>
      <c r="AD16" s="3">
        <v>45451</v>
      </c>
      <c r="AE16" s="3">
        <v>60</v>
      </c>
      <c r="AF16" s="17">
        <v>1440000000</v>
      </c>
      <c r="AG16" s="9" t="s">
        <v>94</v>
      </c>
      <c r="AH16" s="9" t="s">
        <v>93</v>
      </c>
      <c r="AI16" s="9" t="s">
        <v>94</v>
      </c>
      <c r="AJ16" s="9" t="s">
        <v>94</v>
      </c>
      <c r="AK16" s="9" t="s">
        <v>93</v>
      </c>
      <c r="AL16" s="9" t="s">
        <v>93</v>
      </c>
      <c r="AM16" s="9" t="s">
        <v>93</v>
      </c>
      <c r="AN16" s="9" t="s">
        <v>94</v>
      </c>
      <c r="AO16" s="9" t="s">
        <v>93</v>
      </c>
      <c r="AP16" s="9" t="s">
        <v>93</v>
      </c>
      <c r="AQ16" s="9" t="s">
        <v>94</v>
      </c>
      <c r="AR16" s="9" t="s">
        <v>94</v>
      </c>
      <c r="AS16" s="9" t="s">
        <v>93</v>
      </c>
      <c r="AT16" s="9" t="s">
        <v>94</v>
      </c>
      <c r="AU16" s="9" t="s">
        <v>94</v>
      </c>
      <c r="AV16" s="9" t="s">
        <v>94</v>
      </c>
      <c r="AW16" s="9" t="s">
        <v>94</v>
      </c>
      <c r="AX16" s="9" t="s">
        <v>93</v>
      </c>
      <c r="AY16" s="9" t="s">
        <v>93</v>
      </c>
      <c r="AZ16" s="9" t="s">
        <v>93</v>
      </c>
      <c r="BA16" s="9" t="s">
        <v>93</v>
      </c>
      <c r="BB16" s="9" t="s">
        <v>94</v>
      </c>
      <c r="BC16" s="11">
        <v>2</v>
      </c>
      <c r="BD16" s="11">
        <v>4</v>
      </c>
      <c r="BE16" s="11">
        <v>2</v>
      </c>
      <c r="BF16" s="11">
        <v>5</v>
      </c>
      <c r="BG16" s="11">
        <v>2</v>
      </c>
      <c r="BH16" s="11">
        <v>3</v>
      </c>
      <c r="BI16" s="11">
        <v>3</v>
      </c>
      <c r="BJ16" s="11">
        <v>2</v>
      </c>
      <c r="BK16" s="11">
        <v>1</v>
      </c>
      <c r="BL16" s="11">
        <v>2</v>
      </c>
      <c r="BM16" s="11">
        <v>3</v>
      </c>
      <c r="BN16" s="11">
        <v>4</v>
      </c>
      <c r="BO16" s="11">
        <v>4</v>
      </c>
      <c r="BP16" s="11">
        <v>2</v>
      </c>
      <c r="BQ16" s="11">
        <v>1</v>
      </c>
      <c r="BR16" s="11">
        <v>4</v>
      </c>
      <c r="BS16" s="11">
        <v>2</v>
      </c>
      <c r="BT16" s="11">
        <v>4</v>
      </c>
      <c r="BU16" s="11">
        <v>2</v>
      </c>
      <c r="BV16" s="11">
        <v>3</v>
      </c>
      <c r="BW16" s="11">
        <v>2</v>
      </c>
      <c r="BX16" s="11">
        <v>3</v>
      </c>
      <c r="BY16" s="11">
        <v>5</v>
      </c>
      <c r="BZ16" s="11">
        <v>3</v>
      </c>
      <c r="CA16" s="11">
        <v>3</v>
      </c>
      <c r="CB16" s="11">
        <v>5</v>
      </c>
      <c r="CC16" s="11">
        <v>1</v>
      </c>
      <c r="CD16" s="11">
        <v>3</v>
      </c>
      <c r="CE16" s="9" t="s">
        <v>314</v>
      </c>
      <c r="CF16" s="3">
        <v>11</v>
      </c>
      <c r="CG16" s="3">
        <v>26</v>
      </c>
      <c r="CH16" s="3">
        <v>54</v>
      </c>
      <c r="CI16" s="6">
        <f>COUNTIF(AG16:BB16, "Dispone")/22</f>
        <v>0.5</v>
      </c>
      <c r="CJ16" s="7">
        <f>AVERAGE(BC16:BL16)</f>
        <v>2.6</v>
      </c>
      <c r="CK16" s="15">
        <f>AVERAGE(BM16:CD16)</f>
        <v>3</v>
      </c>
      <c r="CL16" s="9" t="str">
        <f>IF(AND(CI16&gt;50%, CJ16&gt;2.5, CK16&gt;2.5), "Compromiso", "")</f>
        <v/>
      </c>
      <c r="CM16" s="9" t="str">
        <f>IF(AND(CI16&gt;75%, CJ16&gt;4, CK16&gt;4), "Liderazgo", "")</f>
        <v/>
      </c>
      <c r="CN16" s="9" t="str">
        <f>IF(AND(CI16&gt;90%, CJ16&gt;4.5, CK16&gt;4.5), "Transformación", "")</f>
        <v/>
      </c>
      <c r="CO16" s="9" t="s">
        <v>581</v>
      </c>
      <c r="CP16" s="9" t="s">
        <v>95</v>
      </c>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row>
    <row r="17" spans="1:155" ht="17.25" customHeight="1" x14ac:dyDescent="0.25">
      <c r="A17" s="16">
        <v>45989.859027777777</v>
      </c>
      <c r="B17" s="10">
        <v>45996.795138888891</v>
      </c>
      <c r="C17" s="3" t="s">
        <v>96</v>
      </c>
      <c r="D17" s="3" t="s">
        <v>431</v>
      </c>
      <c r="E17" s="3">
        <v>599227</v>
      </c>
      <c r="F17" s="3" t="b">
        <v>1</v>
      </c>
      <c r="G17" s="10">
        <v>45996.795138888891</v>
      </c>
      <c r="H17" s="3" t="s">
        <v>432</v>
      </c>
      <c r="I17" s="3">
        <v>-12.8665</v>
      </c>
      <c r="J17" s="3">
        <v>-38.485799999999998</v>
      </c>
      <c r="K17" s="9" t="s">
        <v>98</v>
      </c>
      <c r="L17" s="3" t="s">
        <v>433</v>
      </c>
      <c r="M17" s="3" t="s">
        <v>107</v>
      </c>
      <c r="O17" s="3" t="s">
        <v>911</v>
      </c>
      <c r="Q17" s="3" t="s">
        <v>130</v>
      </c>
      <c r="AG17" s="3" t="s">
        <v>94</v>
      </c>
      <c r="AH17" s="3" t="s">
        <v>93</v>
      </c>
      <c r="AJ17" s="3" t="s">
        <v>93</v>
      </c>
      <c r="AK17" s="3" t="s">
        <v>93</v>
      </c>
      <c r="AL17" s="3" t="s">
        <v>93</v>
      </c>
      <c r="AM17" s="3" t="s">
        <v>93</v>
      </c>
      <c r="AN17" s="3" t="s">
        <v>94</v>
      </c>
      <c r="AO17" s="3" t="s">
        <v>93</v>
      </c>
      <c r="AP17" s="3" t="s">
        <v>94</v>
      </c>
      <c r="AQ17" s="3" t="s">
        <v>93</v>
      </c>
      <c r="AR17" s="3" t="s">
        <v>93</v>
      </c>
      <c r="AS17" s="3" t="s">
        <v>93</v>
      </c>
      <c r="AT17" s="3" t="s">
        <v>94</v>
      </c>
      <c r="AU17" s="3" t="s">
        <v>94</v>
      </c>
      <c r="AV17" s="3" t="s">
        <v>93</v>
      </c>
      <c r="AW17" s="3" t="s">
        <v>93</v>
      </c>
      <c r="AX17" s="3" t="s">
        <v>94</v>
      </c>
      <c r="AY17" s="3" t="s">
        <v>94</v>
      </c>
      <c r="AZ17" s="3" t="s">
        <v>93</v>
      </c>
      <c r="BA17" s="3" t="s">
        <v>93</v>
      </c>
      <c r="BB17" s="3" t="s">
        <v>93</v>
      </c>
      <c r="BC17" s="3">
        <v>2</v>
      </c>
      <c r="BD17" s="3">
        <v>4</v>
      </c>
      <c r="BE17" s="3">
        <v>4</v>
      </c>
      <c r="BF17" s="3">
        <v>3</v>
      </c>
      <c r="BG17" s="3">
        <v>3</v>
      </c>
      <c r="BH17" s="3">
        <v>3</v>
      </c>
      <c r="BI17" s="3">
        <v>2</v>
      </c>
      <c r="BJ17" s="3">
        <v>2</v>
      </c>
      <c r="BK17" s="3">
        <v>3</v>
      </c>
      <c r="BL17" s="3">
        <v>3</v>
      </c>
      <c r="BM17" s="3">
        <v>5</v>
      </c>
      <c r="BN17" s="3">
        <v>5</v>
      </c>
      <c r="BO17" s="3">
        <v>4</v>
      </c>
      <c r="BP17" s="3">
        <v>4</v>
      </c>
      <c r="BQ17" s="3">
        <v>2</v>
      </c>
      <c r="BR17" s="3">
        <v>2</v>
      </c>
      <c r="BS17" s="3">
        <v>5</v>
      </c>
      <c r="BT17" s="3">
        <v>3</v>
      </c>
      <c r="BU17" s="3">
        <v>2</v>
      </c>
      <c r="BV17" s="3">
        <v>3</v>
      </c>
      <c r="BW17" s="3">
        <v>2</v>
      </c>
      <c r="BX17" s="3">
        <v>2</v>
      </c>
      <c r="BY17" s="3">
        <v>3</v>
      </c>
      <c r="BZ17" s="3">
        <v>4</v>
      </c>
      <c r="CA17" s="3">
        <v>3</v>
      </c>
      <c r="CB17" s="3">
        <v>4</v>
      </c>
      <c r="CC17" s="3">
        <v>3</v>
      </c>
      <c r="CD17" s="3">
        <v>4</v>
      </c>
      <c r="CF17" s="3">
        <f>COUNTIF(AG17:BB17, "Dispone")</f>
        <v>14</v>
      </c>
      <c r="CG17" s="3">
        <v>29</v>
      </c>
      <c r="CH17" s="3">
        <f>SUM(BM17:CD17)</f>
        <v>60</v>
      </c>
      <c r="CI17" s="6">
        <f>COUNTIF(AG17:BB17, "Dispone")/22</f>
        <v>0.63636363636363635</v>
      </c>
      <c r="CJ17" s="7">
        <f>AVERAGE(BC17:BL17)</f>
        <v>2.9</v>
      </c>
      <c r="CK17" s="8">
        <f>AVERAGE(BM17:CD17)</f>
        <v>3.3333333333333335</v>
      </c>
      <c r="CL17" s="9" t="str">
        <f>IF(AND(CI17&gt;50%, CJ17&gt;2.5, CK17&gt;2.5), "Compromiso", "")</f>
        <v>Compromiso</v>
      </c>
      <c r="CM17" s="9" t="str">
        <f>IF(AND(CI17&gt;75%, CJ17&gt;4, CK17&gt;4), "Liderazgo", "")</f>
        <v/>
      </c>
      <c r="CN17" s="9" t="str">
        <f>IF(AND(CI17&gt;90%, CJ17&gt;4.5, CK17&gt;4.5), "Transformación", "")</f>
        <v/>
      </c>
      <c r="CO17" s="9" t="s">
        <v>95</v>
      </c>
      <c r="CP17" s="9" t="s">
        <v>95</v>
      </c>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row>
    <row r="18" spans="1:155" ht="17.25" customHeight="1" x14ac:dyDescent="0.25">
      <c r="A18" s="12">
        <v>45867.714212962965</v>
      </c>
      <c r="B18" s="12">
        <v>45873.93241898148</v>
      </c>
      <c r="C18" s="9" t="s">
        <v>96</v>
      </c>
      <c r="D18" s="9" t="s">
        <v>661</v>
      </c>
      <c r="E18" s="13">
        <v>537252</v>
      </c>
      <c r="F18" s="9" t="s">
        <v>105</v>
      </c>
      <c r="G18" s="12">
        <v>45873.932433495371</v>
      </c>
      <c r="H18" s="9" t="s">
        <v>662</v>
      </c>
      <c r="I18" s="13">
        <v>-39.811900000000001</v>
      </c>
      <c r="J18" s="13">
        <v>-73.249300000000005</v>
      </c>
      <c r="K18" s="9" t="s">
        <v>98</v>
      </c>
      <c r="L18" s="9" t="s">
        <v>663</v>
      </c>
      <c r="M18" s="3" t="s">
        <v>876</v>
      </c>
      <c r="N18" s="9" t="s">
        <v>664</v>
      </c>
      <c r="O18" s="3" t="s">
        <v>912</v>
      </c>
      <c r="P18" s="9" t="s">
        <v>665</v>
      </c>
      <c r="Q18" s="9" t="s">
        <v>144</v>
      </c>
      <c r="R18" s="3">
        <v>2000</v>
      </c>
      <c r="S18" s="3">
        <v>160</v>
      </c>
      <c r="T18" s="3">
        <v>1300</v>
      </c>
      <c r="U18" s="3">
        <v>0</v>
      </c>
      <c r="V18" s="3">
        <v>0</v>
      </c>
      <c r="W18" s="9" t="s">
        <v>91</v>
      </c>
      <c r="X18" s="3">
        <v>2</v>
      </c>
      <c r="Y18" s="9" t="s">
        <v>92</v>
      </c>
      <c r="Z18" s="3">
        <v>8</v>
      </c>
      <c r="AA18" s="3">
        <v>280000</v>
      </c>
      <c r="AB18" s="3">
        <v>141952</v>
      </c>
      <c r="AC18" s="3">
        <v>20</v>
      </c>
      <c r="AD18" s="3">
        <v>6800</v>
      </c>
      <c r="AE18" s="3">
        <v>35000</v>
      </c>
      <c r="AF18" s="3">
        <v>0</v>
      </c>
      <c r="AG18" s="9" t="s">
        <v>93</v>
      </c>
      <c r="AH18" s="9" t="s">
        <v>93</v>
      </c>
      <c r="AI18" s="9" t="s">
        <v>94</v>
      </c>
      <c r="AJ18" s="9" t="s">
        <v>93</v>
      </c>
      <c r="AK18" s="9" t="s">
        <v>94</v>
      </c>
      <c r="AL18" s="9" t="s">
        <v>93</v>
      </c>
      <c r="AM18" s="9" t="s">
        <v>93</v>
      </c>
      <c r="AN18" s="9" t="s">
        <v>93</v>
      </c>
      <c r="AO18" s="9" t="s">
        <v>94</v>
      </c>
      <c r="AP18" s="9" t="s">
        <v>93</v>
      </c>
      <c r="AQ18" s="9" t="s">
        <v>94</v>
      </c>
      <c r="AR18" s="9" t="s">
        <v>93</v>
      </c>
      <c r="AS18" s="9" t="s">
        <v>93</v>
      </c>
      <c r="AT18" s="9" t="s">
        <v>94</v>
      </c>
      <c r="AU18" s="9" t="s">
        <v>93</v>
      </c>
      <c r="AV18" s="9" t="s">
        <v>93</v>
      </c>
      <c r="AW18" s="9" t="s">
        <v>94</v>
      </c>
      <c r="AX18" s="9" t="s">
        <v>94</v>
      </c>
      <c r="AY18" s="9" t="s">
        <v>94</v>
      </c>
      <c r="AZ18" s="9" t="s">
        <v>94</v>
      </c>
      <c r="BA18" s="9" t="s">
        <v>94</v>
      </c>
      <c r="BB18" s="9" t="s">
        <v>94</v>
      </c>
      <c r="BC18" s="11">
        <v>2</v>
      </c>
      <c r="BD18" s="11">
        <v>2</v>
      </c>
      <c r="BE18" s="11">
        <v>1</v>
      </c>
      <c r="BF18" s="11">
        <v>2</v>
      </c>
      <c r="BG18" s="11">
        <v>1</v>
      </c>
      <c r="BH18" s="11">
        <v>3</v>
      </c>
      <c r="BI18" s="11">
        <v>2</v>
      </c>
      <c r="BJ18" s="11">
        <v>3</v>
      </c>
      <c r="BK18" s="11">
        <v>2</v>
      </c>
      <c r="BL18" s="11">
        <v>2</v>
      </c>
      <c r="BM18" s="11">
        <v>5</v>
      </c>
      <c r="BN18" s="11">
        <v>2</v>
      </c>
      <c r="BO18" s="11">
        <v>2</v>
      </c>
      <c r="BP18" s="11">
        <v>2</v>
      </c>
      <c r="BQ18" s="11">
        <v>2</v>
      </c>
      <c r="BR18" s="11">
        <v>3</v>
      </c>
      <c r="BS18" s="11">
        <v>2</v>
      </c>
      <c r="BT18" s="11">
        <v>3</v>
      </c>
      <c r="BU18" s="11">
        <v>3</v>
      </c>
      <c r="BV18" s="11">
        <v>3</v>
      </c>
      <c r="BW18" s="11">
        <v>3</v>
      </c>
      <c r="BX18" s="11">
        <v>4</v>
      </c>
      <c r="BY18" s="11">
        <v>4</v>
      </c>
      <c r="BZ18" s="11">
        <v>4</v>
      </c>
      <c r="CA18" s="11">
        <v>4</v>
      </c>
      <c r="CB18" s="11">
        <v>4</v>
      </c>
      <c r="CC18" s="11">
        <v>5</v>
      </c>
      <c r="CD18" s="11">
        <v>4</v>
      </c>
      <c r="CE18" s="9" t="s">
        <v>666</v>
      </c>
      <c r="CF18" s="3">
        <v>11</v>
      </c>
      <c r="CG18" s="3">
        <v>20</v>
      </c>
      <c r="CH18" s="3">
        <v>59</v>
      </c>
      <c r="CI18" s="6">
        <f>COUNTIF(AG18:BB18, "Dispone")/22</f>
        <v>0.5</v>
      </c>
      <c r="CJ18" s="7">
        <f>AVERAGE(BC18:BL18)</f>
        <v>2</v>
      </c>
      <c r="CK18" s="15">
        <f>AVERAGE(BM18:CD18)</f>
        <v>3.2777777777777777</v>
      </c>
      <c r="CL18" s="9" t="str">
        <f>IF(AND(CI18&gt;50%, CJ18&gt;2.5, CK18&gt;2.5), "Compromiso", "")</f>
        <v/>
      </c>
      <c r="CM18" s="9" t="str">
        <f>IF(AND(CI18&gt;75%, CJ18&gt;4, CK18&gt;4), "Liderazgo", "")</f>
        <v/>
      </c>
      <c r="CN18" s="9" t="str">
        <f>IF(AND(CI18&gt;90%, CJ18&gt;4.5, CK18&gt;4.5), "Transformación", "")</f>
        <v/>
      </c>
      <c r="CO18" s="9" t="s">
        <v>581</v>
      </c>
      <c r="CP18" s="9" t="s">
        <v>146</v>
      </c>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row>
    <row r="19" spans="1:155" ht="17.25" customHeight="1" x14ac:dyDescent="0.25">
      <c r="A19" s="12">
        <v>45943.644143518519</v>
      </c>
      <c r="B19" s="12">
        <v>45947.661354166667</v>
      </c>
      <c r="C19" s="9" t="s">
        <v>96</v>
      </c>
      <c r="D19" s="9" t="s">
        <v>552</v>
      </c>
      <c r="E19" s="13">
        <v>347086</v>
      </c>
      <c r="F19" s="9" t="s">
        <v>105</v>
      </c>
      <c r="G19" s="12">
        <v>45947.661369340276</v>
      </c>
      <c r="H19" s="9" t="s">
        <v>553</v>
      </c>
      <c r="I19" s="13">
        <v>-32.889499999999998</v>
      </c>
      <c r="J19" s="13">
        <v>-68.845799999999997</v>
      </c>
      <c r="K19" s="9" t="s">
        <v>98</v>
      </c>
      <c r="L19" s="9" t="s">
        <v>554</v>
      </c>
      <c r="M19" s="3" t="s">
        <v>877</v>
      </c>
      <c r="N19" s="9" t="s">
        <v>555</v>
      </c>
      <c r="O19" s="3" t="s">
        <v>913</v>
      </c>
      <c r="P19" s="9"/>
      <c r="Q19" s="9" t="s">
        <v>124</v>
      </c>
      <c r="R19" s="3">
        <v>1982</v>
      </c>
      <c r="S19" s="3">
        <v>1308</v>
      </c>
      <c r="T19" s="3">
        <v>25476</v>
      </c>
      <c r="U19" s="3">
        <v>0</v>
      </c>
      <c r="V19" s="3">
        <v>0</v>
      </c>
      <c r="W19" s="9" t="s">
        <v>91</v>
      </c>
      <c r="X19" s="3">
        <v>3</v>
      </c>
      <c r="Y19" s="9" t="s">
        <v>92</v>
      </c>
      <c r="Z19" s="3">
        <v>19</v>
      </c>
      <c r="AA19" s="3">
        <v>8900866</v>
      </c>
      <c r="AB19" s="3">
        <v>109</v>
      </c>
      <c r="AC19" s="3">
        <v>31</v>
      </c>
      <c r="AD19" s="3">
        <v>80895</v>
      </c>
      <c r="AE19" s="3">
        <v>20</v>
      </c>
      <c r="AF19" s="17">
        <v>210000000</v>
      </c>
      <c r="AG19" s="9" t="s">
        <v>93</v>
      </c>
      <c r="AH19" s="9" t="s">
        <v>93</v>
      </c>
      <c r="AI19" s="9" t="s">
        <v>93</v>
      </c>
      <c r="AJ19" s="9" t="s">
        <v>93</v>
      </c>
      <c r="AK19" s="9" t="s">
        <v>93</v>
      </c>
      <c r="AL19" s="9" t="s">
        <v>93</v>
      </c>
      <c r="AM19" s="9" t="s">
        <v>93</v>
      </c>
      <c r="AN19" s="9" t="s">
        <v>93</v>
      </c>
      <c r="AO19" s="9" t="s">
        <v>93</v>
      </c>
      <c r="AP19" s="9" t="s">
        <v>93</v>
      </c>
      <c r="AQ19" s="9" t="s">
        <v>93</v>
      </c>
      <c r="AR19" s="9" t="s">
        <v>93</v>
      </c>
      <c r="AS19" s="9" t="s">
        <v>93</v>
      </c>
      <c r="AT19" s="9" t="s">
        <v>93</v>
      </c>
      <c r="AU19" s="9" t="s">
        <v>93</v>
      </c>
      <c r="AV19" s="9" t="s">
        <v>93</v>
      </c>
      <c r="AW19" s="9" t="s">
        <v>93</v>
      </c>
      <c r="AX19" s="9" t="s">
        <v>94</v>
      </c>
      <c r="AY19" s="9" t="s">
        <v>93</v>
      </c>
      <c r="AZ19" s="9" t="s">
        <v>93</v>
      </c>
      <c r="BA19" s="9" t="s">
        <v>93</v>
      </c>
      <c r="BB19" s="9" t="s">
        <v>93</v>
      </c>
      <c r="BC19" s="11">
        <v>4</v>
      </c>
      <c r="BD19" s="11">
        <v>4</v>
      </c>
      <c r="BE19" s="11">
        <v>3</v>
      </c>
      <c r="BF19" s="11">
        <v>4</v>
      </c>
      <c r="BG19" s="11">
        <v>5</v>
      </c>
      <c r="BH19" s="11">
        <v>5</v>
      </c>
      <c r="BI19" s="11">
        <v>5</v>
      </c>
      <c r="BJ19" s="11">
        <v>4</v>
      </c>
      <c r="BK19" s="11">
        <v>5</v>
      </c>
      <c r="BL19" s="11">
        <v>2</v>
      </c>
      <c r="BM19" s="11">
        <v>5</v>
      </c>
      <c r="BN19" s="11">
        <v>5</v>
      </c>
      <c r="BO19" s="11">
        <v>5</v>
      </c>
      <c r="BP19" s="11">
        <v>5</v>
      </c>
      <c r="BQ19" s="11">
        <v>5</v>
      </c>
      <c r="BR19" s="11">
        <v>5</v>
      </c>
      <c r="BS19" s="11">
        <v>5</v>
      </c>
      <c r="BT19" s="11">
        <v>5</v>
      </c>
      <c r="BU19" s="11">
        <v>5</v>
      </c>
      <c r="BV19" s="11">
        <v>5</v>
      </c>
      <c r="BW19" s="11">
        <v>5</v>
      </c>
      <c r="BX19" s="11">
        <v>4</v>
      </c>
      <c r="BY19" s="11">
        <v>5</v>
      </c>
      <c r="BZ19" s="11">
        <v>5</v>
      </c>
      <c r="CA19" s="11">
        <v>5</v>
      </c>
      <c r="CB19" s="11">
        <v>5</v>
      </c>
      <c r="CC19" s="11">
        <v>5</v>
      </c>
      <c r="CD19" s="11">
        <v>5</v>
      </c>
      <c r="CE19" s="9"/>
      <c r="CF19" s="3">
        <v>21</v>
      </c>
      <c r="CG19" s="3">
        <v>41</v>
      </c>
      <c r="CH19" s="3">
        <v>89</v>
      </c>
      <c r="CI19" s="6">
        <f>COUNTIF(AG19:BB19, "Dispone")/22</f>
        <v>0.95454545454545459</v>
      </c>
      <c r="CJ19" s="7">
        <f>AVERAGE(BC19:BL19)</f>
        <v>4.0999999999999996</v>
      </c>
      <c r="CK19" s="15">
        <f>AVERAGE(BM19:CD19)</f>
        <v>4.9444444444444446</v>
      </c>
      <c r="CL19" s="9" t="str">
        <f>IF(AND(CI19&gt;50%, CJ19&gt;2.5, CK19&gt;2.5), "Compromiso", "")</f>
        <v>Compromiso</v>
      </c>
      <c r="CM19" s="9" t="str">
        <f>IF(AND(CI19&gt;75%, CJ19&gt;4, CK19&gt;4), "Liderazgo", "")</f>
        <v>Liderazgo</v>
      </c>
      <c r="CN19" s="9" t="str">
        <f>IF(AND(CI19&gt;90%, CJ19&gt;4.5, CK19&gt;4.5), "Transformación", "")</f>
        <v/>
      </c>
      <c r="CO19" s="9" t="s">
        <v>103</v>
      </c>
      <c r="CP19" s="9" t="s">
        <v>95</v>
      </c>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row>
    <row r="20" spans="1:155" ht="17.25" customHeight="1" x14ac:dyDescent="0.25">
      <c r="A20" s="12">
        <v>45894.962395833332</v>
      </c>
      <c r="B20" s="12">
        <v>45898.94494212963</v>
      </c>
      <c r="C20" s="9" t="s">
        <v>96</v>
      </c>
      <c r="D20" s="9" t="s">
        <v>824</v>
      </c>
      <c r="E20" s="13">
        <v>344092</v>
      </c>
      <c r="F20" s="9" t="s">
        <v>105</v>
      </c>
      <c r="G20" s="12">
        <v>45898.944960358793</v>
      </c>
      <c r="H20" s="9" t="s">
        <v>825</v>
      </c>
      <c r="I20" s="13">
        <v>-29.953299999999999</v>
      </c>
      <c r="J20" s="13">
        <v>-71.334900000000005</v>
      </c>
      <c r="K20" s="9" t="s">
        <v>98</v>
      </c>
      <c r="L20" s="9" t="s">
        <v>826</v>
      </c>
      <c r="M20" s="3" t="s">
        <v>878</v>
      </c>
      <c r="N20" s="9" t="s">
        <v>827</v>
      </c>
      <c r="O20" s="3" t="s">
        <v>914</v>
      </c>
      <c r="P20" s="14" t="s">
        <v>1012</v>
      </c>
      <c r="Q20" s="9" t="s">
        <v>130</v>
      </c>
      <c r="R20" s="3">
        <v>1989</v>
      </c>
      <c r="S20" s="3">
        <v>3.0329999999999999</v>
      </c>
      <c r="T20" s="3">
        <v>23000</v>
      </c>
      <c r="U20" s="3">
        <v>1000</v>
      </c>
      <c r="V20" s="3">
        <v>200</v>
      </c>
      <c r="W20" s="9" t="s">
        <v>118</v>
      </c>
      <c r="X20" s="3">
        <v>20</v>
      </c>
      <c r="Y20" s="9" t="s">
        <v>92</v>
      </c>
      <c r="Z20" s="3">
        <v>25</v>
      </c>
      <c r="AA20" s="3">
        <v>21726007</v>
      </c>
      <c r="AB20" s="3">
        <v>1578</v>
      </c>
      <c r="AC20" s="3">
        <v>52</v>
      </c>
      <c r="AD20" s="3">
        <v>102121</v>
      </c>
      <c r="AE20" s="3">
        <v>43</v>
      </c>
      <c r="AF20" s="3">
        <v>5088000</v>
      </c>
      <c r="AG20" s="9" t="s">
        <v>93</v>
      </c>
      <c r="AH20" s="9" t="s">
        <v>93</v>
      </c>
      <c r="AI20" s="9" t="s">
        <v>94</v>
      </c>
      <c r="AJ20" s="9" t="s">
        <v>93</v>
      </c>
      <c r="AK20" s="9" t="s">
        <v>93</v>
      </c>
      <c r="AL20" s="9" t="s">
        <v>93</v>
      </c>
      <c r="AM20" s="9" t="s">
        <v>93</v>
      </c>
      <c r="AN20" s="9" t="s">
        <v>93</v>
      </c>
      <c r="AO20" s="9" t="s">
        <v>93</v>
      </c>
      <c r="AP20" s="9" t="s">
        <v>93</v>
      </c>
      <c r="AQ20" s="9" t="s">
        <v>93</v>
      </c>
      <c r="AR20" s="9" t="s">
        <v>93</v>
      </c>
      <c r="AS20" s="9" t="s">
        <v>93</v>
      </c>
      <c r="AT20" s="9" t="s">
        <v>93</v>
      </c>
      <c r="AU20" s="9" t="s">
        <v>93</v>
      </c>
      <c r="AV20" s="9" t="s">
        <v>93</v>
      </c>
      <c r="AW20" s="9" t="s">
        <v>93</v>
      </c>
      <c r="AX20" s="9" t="s">
        <v>94</v>
      </c>
      <c r="AY20" s="9" t="s">
        <v>93</v>
      </c>
      <c r="AZ20" s="9" t="s">
        <v>93</v>
      </c>
      <c r="BA20" s="9" t="s">
        <v>93</v>
      </c>
      <c r="BB20" s="9" t="s">
        <v>93</v>
      </c>
      <c r="BC20" s="11">
        <v>5</v>
      </c>
      <c r="BD20" s="11">
        <v>5</v>
      </c>
      <c r="BE20" s="11">
        <v>5</v>
      </c>
      <c r="BF20" s="11">
        <v>5</v>
      </c>
      <c r="BG20" s="11">
        <v>5</v>
      </c>
      <c r="BH20" s="11">
        <v>5</v>
      </c>
      <c r="BI20" s="11">
        <v>5</v>
      </c>
      <c r="BJ20" s="11">
        <v>5</v>
      </c>
      <c r="BK20" s="11">
        <v>5</v>
      </c>
      <c r="BL20" s="11">
        <v>5</v>
      </c>
      <c r="BM20" s="11">
        <v>5</v>
      </c>
      <c r="BN20" s="11">
        <v>5</v>
      </c>
      <c r="BO20" s="11">
        <v>5</v>
      </c>
      <c r="BP20" s="11">
        <v>5</v>
      </c>
      <c r="BQ20" s="11">
        <v>5</v>
      </c>
      <c r="BR20" s="11">
        <v>5</v>
      </c>
      <c r="BS20" s="11">
        <v>5</v>
      </c>
      <c r="BT20" s="11">
        <v>5</v>
      </c>
      <c r="BU20" s="11">
        <v>5</v>
      </c>
      <c r="BV20" s="11">
        <v>5</v>
      </c>
      <c r="BW20" s="11">
        <v>5</v>
      </c>
      <c r="BX20" s="11">
        <v>4</v>
      </c>
      <c r="BY20" s="11">
        <v>4</v>
      </c>
      <c r="BZ20" s="11">
        <v>5</v>
      </c>
      <c r="CA20" s="11">
        <v>4</v>
      </c>
      <c r="CB20" s="11">
        <v>5</v>
      </c>
      <c r="CC20" s="11">
        <v>5</v>
      </c>
      <c r="CD20" s="11">
        <v>5</v>
      </c>
      <c r="CE20" s="9" t="s">
        <v>828</v>
      </c>
      <c r="CF20" s="3">
        <v>20</v>
      </c>
      <c r="CG20" s="3">
        <v>50</v>
      </c>
      <c r="CH20" s="3">
        <v>87</v>
      </c>
      <c r="CI20" s="6">
        <f>COUNTIF(AG20:BB20, "Dispone")/22</f>
        <v>0.90909090909090906</v>
      </c>
      <c r="CJ20" s="7">
        <f>AVERAGE(BC20:BL20)</f>
        <v>5</v>
      </c>
      <c r="CK20" s="15">
        <f>AVERAGE(BM20:CD20)</f>
        <v>4.833333333333333</v>
      </c>
      <c r="CL20" s="9" t="str">
        <f>IF(AND(CI20&gt;50%, CJ20&gt;2.5, CK20&gt;2.5), "Compromiso", "")</f>
        <v>Compromiso</v>
      </c>
      <c r="CM20" s="9" t="str">
        <f>IF(AND(CI20&gt;75%, CJ20&gt;4, CK20&gt;4), "Liderazgo", "")</f>
        <v>Liderazgo</v>
      </c>
      <c r="CN20" s="9" t="str">
        <f>IF(AND(CI20&gt;90%, CJ20&gt;4.5, CK20&gt;4.5), "Transformación", "")</f>
        <v>Transformación</v>
      </c>
      <c r="CO20" s="9" t="s">
        <v>132</v>
      </c>
      <c r="CP20" s="3" t="s">
        <v>103</v>
      </c>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row>
    <row r="21" spans="1:155" ht="17.25" customHeight="1" x14ac:dyDescent="0.25">
      <c r="A21" s="12">
        <v>45908.635949074072</v>
      </c>
      <c r="B21" s="12">
        <v>45912.416956018518</v>
      </c>
      <c r="C21" s="9" t="s">
        <v>96</v>
      </c>
      <c r="D21" s="9" t="s">
        <v>269</v>
      </c>
      <c r="E21" s="13">
        <v>326679</v>
      </c>
      <c r="F21" s="9" t="s">
        <v>105</v>
      </c>
      <c r="G21" s="12">
        <v>45912.416971574072</v>
      </c>
      <c r="H21" s="9" t="s">
        <v>270</v>
      </c>
      <c r="I21" s="13">
        <v>40.503900000000002</v>
      </c>
      <c r="J21" s="13">
        <v>-3.6835</v>
      </c>
      <c r="K21" s="9" t="s">
        <v>98</v>
      </c>
      <c r="L21" s="9" t="s">
        <v>271</v>
      </c>
      <c r="M21" s="3" t="s">
        <v>272</v>
      </c>
      <c r="N21" s="9" t="s">
        <v>273</v>
      </c>
      <c r="O21" s="3" t="s">
        <v>915</v>
      </c>
      <c r="P21" s="14" t="s">
        <v>1013</v>
      </c>
      <c r="Q21" s="9" t="s">
        <v>124</v>
      </c>
      <c r="R21" s="3">
        <v>1988</v>
      </c>
      <c r="S21" s="3">
        <v>7.1</v>
      </c>
      <c r="T21" s="3">
        <v>45359</v>
      </c>
      <c r="U21" s="3">
        <v>3993</v>
      </c>
      <c r="V21" s="3">
        <v>367</v>
      </c>
      <c r="W21" s="9" t="s">
        <v>91</v>
      </c>
      <c r="X21" s="3">
        <v>2</v>
      </c>
      <c r="Y21" s="9" t="s">
        <v>92</v>
      </c>
      <c r="Z21" s="3">
        <v>79</v>
      </c>
      <c r="AA21" s="3">
        <v>21681960</v>
      </c>
      <c r="AB21" s="3">
        <v>1088</v>
      </c>
      <c r="AC21" s="3">
        <v>32</v>
      </c>
      <c r="AD21" s="3">
        <v>256507</v>
      </c>
      <c r="AE21" s="3">
        <v>8</v>
      </c>
      <c r="AF21" s="3">
        <v>893684</v>
      </c>
      <c r="AG21" s="9" t="s">
        <v>93</v>
      </c>
      <c r="AH21" s="9" t="s">
        <v>93</v>
      </c>
      <c r="AI21" s="9" t="s">
        <v>93</v>
      </c>
      <c r="AJ21" s="9" t="s">
        <v>93</v>
      </c>
      <c r="AK21" s="9" t="s">
        <v>93</v>
      </c>
      <c r="AL21" s="9" t="s">
        <v>93</v>
      </c>
      <c r="AM21" s="9" t="s">
        <v>93</v>
      </c>
      <c r="AN21" s="9" t="s">
        <v>93</v>
      </c>
      <c r="AO21" s="9" t="s">
        <v>93</v>
      </c>
      <c r="AP21" s="9" t="s">
        <v>93</v>
      </c>
      <c r="AQ21" s="9" t="s">
        <v>93</v>
      </c>
      <c r="AR21" s="9" t="s">
        <v>93</v>
      </c>
      <c r="AS21" s="9" t="s">
        <v>93</v>
      </c>
      <c r="AT21" s="9" t="s">
        <v>93</v>
      </c>
      <c r="AU21" s="9" t="s">
        <v>93</v>
      </c>
      <c r="AV21" s="9" t="s">
        <v>93</v>
      </c>
      <c r="AW21" s="9" t="s">
        <v>93</v>
      </c>
      <c r="AX21" s="9" t="s">
        <v>93</v>
      </c>
      <c r="AY21" s="9" t="s">
        <v>93</v>
      </c>
      <c r="AZ21" s="9" t="s">
        <v>93</v>
      </c>
      <c r="BA21" s="9" t="s">
        <v>93</v>
      </c>
      <c r="BB21" s="9" t="s">
        <v>93</v>
      </c>
      <c r="BC21" s="11">
        <v>4</v>
      </c>
      <c r="BD21" s="11">
        <v>4</v>
      </c>
      <c r="BE21" s="11">
        <v>4</v>
      </c>
      <c r="BF21" s="11">
        <v>4</v>
      </c>
      <c r="BG21" s="11">
        <v>4</v>
      </c>
      <c r="BH21" s="11">
        <v>5</v>
      </c>
      <c r="BI21" s="11">
        <v>4</v>
      </c>
      <c r="BJ21" s="11">
        <v>4</v>
      </c>
      <c r="BK21" s="11">
        <v>3</v>
      </c>
      <c r="BL21" s="11">
        <v>3</v>
      </c>
      <c r="BM21" s="11">
        <v>5</v>
      </c>
      <c r="BN21" s="11">
        <v>5</v>
      </c>
      <c r="BO21" s="11">
        <v>5</v>
      </c>
      <c r="BP21" s="11">
        <v>5</v>
      </c>
      <c r="BQ21" s="11">
        <v>5</v>
      </c>
      <c r="BR21" s="11">
        <v>5</v>
      </c>
      <c r="BS21" s="11">
        <v>2</v>
      </c>
      <c r="BT21" s="11">
        <v>5</v>
      </c>
      <c r="BU21" s="11">
        <v>3</v>
      </c>
      <c r="BV21" s="11">
        <v>5</v>
      </c>
      <c r="BW21" s="11">
        <v>4</v>
      </c>
      <c r="BX21" s="11">
        <v>3</v>
      </c>
      <c r="BY21" s="11">
        <v>3</v>
      </c>
      <c r="BZ21" s="11">
        <v>3</v>
      </c>
      <c r="CA21" s="11">
        <v>5</v>
      </c>
      <c r="CB21" s="11">
        <v>5</v>
      </c>
      <c r="CC21" s="11">
        <v>5</v>
      </c>
      <c r="CD21" s="11">
        <v>5</v>
      </c>
      <c r="CE21" s="9" t="s">
        <v>274</v>
      </c>
      <c r="CF21" s="3">
        <v>22</v>
      </c>
      <c r="CG21" s="3">
        <v>39</v>
      </c>
      <c r="CH21" s="3">
        <v>78</v>
      </c>
      <c r="CI21" s="6">
        <f>COUNTIF(AG21:BB21, "Dispone")/22</f>
        <v>1</v>
      </c>
      <c r="CJ21" s="7">
        <f>AVERAGE(BC21:BL21)</f>
        <v>3.9</v>
      </c>
      <c r="CK21" s="15">
        <f>AVERAGE(BM21:CD21)</f>
        <v>4.333333333333333</v>
      </c>
      <c r="CL21" s="9" t="str">
        <f>IF(AND(CI21&gt;50%, CJ21&gt;2.5, CK21&gt;2.5), "Compromiso", "")</f>
        <v>Compromiso</v>
      </c>
      <c r="CM21" s="9" t="str">
        <f>IF(AND(CI21&gt;75%, CJ21&gt;4, CK21&gt;4), "Liderazgo", "")</f>
        <v/>
      </c>
      <c r="CN21" s="9" t="str">
        <f>IF(AND(CI21&gt;90%, CJ21&gt;4.5, CK21&gt;4.5), "Transformación", "")</f>
        <v/>
      </c>
      <c r="CO21" s="9" t="s">
        <v>95</v>
      </c>
      <c r="CP21" s="3" t="s">
        <v>95</v>
      </c>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row>
    <row r="22" spans="1:155" ht="17.25" customHeight="1" x14ac:dyDescent="0.25">
      <c r="A22" s="16">
        <v>45961.106944444444</v>
      </c>
      <c r="B22" s="10">
        <v>45964.707638888889</v>
      </c>
      <c r="C22" s="3" t="s">
        <v>96</v>
      </c>
      <c r="D22" s="11">
        <v>201152179172</v>
      </c>
      <c r="E22" s="3">
        <v>311098</v>
      </c>
      <c r="F22" s="3" t="b">
        <v>1</v>
      </c>
      <c r="G22" s="10">
        <v>45964.707638888889</v>
      </c>
      <c r="H22" s="3" t="s">
        <v>275</v>
      </c>
      <c r="I22" s="3">
        <v>19.432400000000001</v>
      </c>
      <c r="J22" s="3">
        <v>-99.122900000000001</v>
      </c>
      <c r="K22" s="3" t="s">
        <v>98</v>
      </c>
      <c r="L22" s="3" t="s">
        <v>276</v>
      </c>
      <c r="M22" s="3" t="s">
        <v>879</v>
      </c>
      <c r="N22" s="3" t="s">
        <v>277</v>
      </c>
      <c r="O22" s="3" t="s">
        <v>278</v>
      </c>
      <c r="P22" s="3">
        <v>5546409168</v>
      </c>
      <c r="Q22" s="3" t="s">
        <v>144</v>
      </c>
      <c r="R22" s="3">
        <v>1960</v>
      </c>
      <c r="S22" s="3">
        <v>10668</v>
      </c>
      <c r="T22" s="3">
        <v>24395</v>
      </c>
      <c r="U22" s="3">
        <v>38549</v>
      </c>
      <c r="V22" s="3">
        <v>45987</v>
      </c>
      <c r="W22" s="3" t="s">
        <v>91</v>
      </c>
      <c r="X22" s="3">
        <v>0.85</v>
      </c>
      <c r="Y22" s="3" t="s">
        <v>92</v>
      </c>
      <c r="Z22" s="3">
        <v>0</v>
      </c>
      <c r="AA22" s="3">
        <v>31124068</v>
      </c>
      <c r="AB22" s="3">
        <v>15081.81</v>
      </c>
      <c r="AC22" s="3">
        <v>2.27</v>
      </c>
      <c r="AD22" s="17">
        <v>244000000</v>
      </c>
      <c r="AE22" s="3">
        <v>0</v>
      </c>
      <c r="AF22" s="3">
        <v>0</v>
      </c>
      <c r="AG22" s="3" t="s">
        <v>94</v>
      </c>
      <c r="AH22" s="3" t="s">
        <v>93</v>
      </c>
      <c r="AI22" s="3" t="s">
        <v>93</v>
      </c>
      <c r="AJ22" s="3" t="s">
        <v>93</v>
      </c>
      <c r="AK22" s="3" t="s">
        <v>93</v>
      </c>
      <c r="AL22" s="3" t="s">
        <v>93</v>
      </c>
      <c r="AM22" s="3" t="s">
        <v>93</v>
      </c>
      <c r="AN22" s="3" t="s">
        <v>93</v>
      </c>
      <c r="AO22" s="3" t="s">
        <v>93</v>
      </c>
      <c r="AP22" s="3" t="s">
        <v>93</v>
      </c>
      <c r="AQ22" s="3" t="s">
        <v>93</v>
      </c>
      <c r="AR22" s="3" t="s">
        <v>93</v>
      </c>
      <c r="AS22" s="3" t="s">
        <v>93</v>
      </c>
      <c r="AT22" s="3" t="s">
        <v>93</v>
      </c>
      <c r="AU22" s="3" t="s">
        <v>93</v>
      </c>
      <c r="AV22" s="3" t="s">
        <v>93</v>
      </c>
      <c r="AW22" s="3" t="s">
        <v>94</v>
      </c>
      <c r="AX22" s="3" t="s">
        <v>94</v>
      </c>
      <c r="AY22" s="3" t="s">
        <v>93</v>
      </c>
      <c r="AZ22" s="3" t="s">
        <v>93</v>
      </c>
      <c r="BA22" s="3" t="s">
        <v>94</v>
      </c>
      <c r="BB22" s="3" t="s">
        <v>94</v>
      </c>
      <c r="BC22" s="3">
        <v>3</v>
      </c>
      <c r="BD22" s="3">
        <v>3</v>
      </c>
      <c r="BE22" s="3">
        <v>3</v>
      </c>
      <c r="BF22" s="3">
        <v>3</v>
      </c>
      <c r="BG22" s="3">
        <v>3</v>
      </c>
      <c r="BH22" s="3">
        <v>3</v>
      </c>
      <c r="BI22" s="3">
        <v>2</v>
      </c>
      <c r="BJ22" s="3">
        <v>5</v>
      </c>
      <c r="BK22" s="3">
        <v>3</v>
      </c>
      <c r="BL22" s="3">
        <v>2</v>
      </c>
      <c r="BM22" s="3">
        <v>4</v>
      </c>
      <c r="BN22" s="3">
        <v>5</v>
      </c>
      <c r="BO22" s="3">
        <v>4</v>
      </c>
      <c r="BP22" s="3">
        <v>5</v>
      </c>
      <c r="BQ22" s="3">
        <v>5</v>
      </c>
      <c r="BR22" s="3">
        <v>5</v>
      </c>
      <c r="BS22" s="3">
        <v>5</v>
      </c>
      <c r="BT22" s="3">
        <v>5</v>
      </c>
      <c r="BU22" s="3">
        <v>3</v>
      </c>
      <c r="BV22" s="3">
        <v>5</v>
      </c>
      <c r="BW22" s="3">
        <v>3</v>
      </c>
      <c r="BX22" s="3">
        <v>3</v>
      </c>
      <c r="BY22" s="3">
        <v>4</v>
      </c>
      <c r="BZ22" s="3">
        <v>4</v>
      </c>
      <c r="CA22" s="3">
        <v>5</v>
      </c>
      <c r="CB22" s="3">
        <v>5</v>
      </c>
      <c r="CC22" s="3">
        <v>3</v>
      </c>
      <c r="CD22" s="3">
        <v>5</v>
      </c>
      <c r="CE22" s="3" t="s">
        <v>279</v>
      </c>
      <c r="CF22" s="3">
        <v>17</v>
      </c>
      <c r="CG22" s="3">
        <v>30</v>
      </c>
      <c r="CH22" s="3">
        <v>78</v>
      </c>
      <c r="CI22" s="6">
        <f>COUNTIF(AG22:BB22, "Dispone")/22</f>
        <v>0.77272727272727271</v>
      </c>
      <c r="CJ22" s="7">
        <f>AVERAGE(BC22:BL22)</f>
        <v>3</v>
      </c>
      <c r="CK22" s="15">
        <f>AVERAGE(BM22:CD22)</f>
        <v>4.333333333333333</v>
      </c>
      <c r="CL22" s="9" t="str">
        <f>IF(AND(CI22&gt;50%, CJ22&gt;2.5, CK22&gt;2.5), "Compromiso", "")</f>
        <v>Compromiso</v>
      </c>
      <c r="CM22" s="9" t="str">
        <f>IF(AND(CI22&gt;75%, CJ22&gt;4, CK22&gt;4), "Liderazgo", "")</f>
        <v/>
      </c>
      <c r="CN22" s="9" t="str">
        <f>IF(AND(CI22&gt;90%, CJ22&gt;4.5, CK22&gt;4.5), "Transformación", "")</f>
        <v/>
      </c>
      <c r="CO22" s="9" t="s">
        <v>95</v>
      </c>
      <c r="CP22" s="3" t="s">
        <v>146</v>
      </c>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row>
    <row r="23" spans="1:155" ht="17.25" customHeight="1" x14ac:dyDescent="0.25">
      <c r="A23" s="10">
        <v>45964.748611111114</v>
      </c>
      <c r="B23" s="10">
        <v>45967.884722222225</v>
      </c>
      <c r="C23" s="3" t="s">
        <v>96</v>
      </c>
      <c r="D23" s="3" t="s">
        <v>808</v>
      </c>
      <c r="E23" s="3">
        <v>270963</v>
      </c>
      <c r="F23" s="3" t="b">
        <v>1</v>
      </c>
      <c r="G23" s="10">
        <v>45967.884722222225</v>
      </c>
      <c r="H23" s="3" t="s">
        <v>809</v>
      </c>
      <c r="I23" s="3">
        <v>20.1173</v>
      </c>
      <c r="J23" s="3">
        <v>-98.730900000000005</v>
      </c>
      <c r="K23" s="3" t="s">
        <v>98</v>
      </c>
      <c r="L23" s="3" t="s">
        <v>810</v>
      </c>
      <c r="M23" s="3" t="s">
        <v>811</v>
      </c>
      <c r="N23" s="3" t="s">
        <v>812</v>
      </c>
      <c r="O23" s="3" t="s">
        <v>916</v>
      </c>
      <c r="P23" s="3">
        <v>8113404419</v>
      </c>
      <c r="Q23" s="3" t="s">
        <v>144</v>
      </c>
      <c r="R23" s="3">
        <v>1933</v>
      </c>
      <c r="S23" s="3">
        <v>13.6</v>
      </c>
      <c r="T23" s="3">
        <v>218.946</v>
      </c>
      <c r="U23" s="3">
        <v>0</v>
      </c>
      <c r="V23" s="3">
        <v>0</v>
      </c>
      <c r="W23" s="3" t="s">
        <v>118</v>
      </c>
      <c r="X23" s="3">
        <v>1</v>
      </c>
      <c r="Y23" s="3" t="s">
        <v>92</v>
      </c>
      <c r="Z23" s="3">
        <v>500</v>
      </c>
      <c r="AA23" s="3">
        <v>99171393</v>
      </c>
      <c r="AB23" s="3">
        <v>85559</v>
      </c>
      <c r="AC23" s="3">
        <v>100</v>
      </c>
      <c r="AD23" s="3">
        <v>1567000</v>
      </c>
      <c r="AE23" s="3">
        <v>98.5</v>
      </c>
      <c r="AF23" s="17">
        <v>117000000</v>
      </c>
      <c r="AG23" s="3" t="s">
        <v>93</v>
      </c>
      <c r="AH23" s="3" t="s">
        <v>93</v>
      </c>
      <c r="AI23" s="3" t="s">
        <v>93</v>
      </c>
      <c r="AJ23" s="3" t="s">
        <v>93</v>
      </c>
      <c r="AK23" s="3" t="s">
        <v>93</v>
      </c>
      <c r="AL23" s="3" t="s">
        <v>93</v>
      </c>
      <c r="AM23" s="3" t="s">
        <v>93</v>
      </c>
      <c r="AN23" s="3" t="s">
        <v>93</v>
      </c>
      <c r="AO23" s="3" t="s">
        <v>93</v>
      </c>
      <c r="AP23" s="3" t="s">
        <v>93</v>
      </c>
      <c r="AQ23" s="3" t="s">
        <v>93</v>
      </c>
      <c r="AR23" s="3" t="s">
        <v>93</v>
      </c>
      <c r="AS23" s="3" t="s">
        <v>93</v>
      </c>
      <c r="AT23" s="3" t="s">
        <v>93</v>
      </c>
      <c r="AU23" s="3" t="s">
        <v>93</v>
      </c>
      <c r="AV23" s="3" t="s">
        <v>93</v>
      </c>
      <c r="AW23" s="3" t="s">
        <v>93</v>
      </c>
      <c r="AX23" s="3" t="s">
        <v>94</v>
      </c>
      <c r="AY23" s="3" t="s">
        <v>93</v>
      </c>
      <c r="AZ23" s="3" t="s">
        <v>93</v>
      </c>
      <c r="BA23" s="3" t="s">
        <v>93</v>
      </c>
      <c r="BB23" s="3" t="s">
        <v>93</v>
      </c>
      <c r="BC23" s="3">
        <v>5</v>
      </c>
      <c r="BD23" s="3">
        <v>5</v>
      </c>
      <c r="BE23" s="3">
        <v>5</v>
      </c>
      <c r="BF23" s="3">
        <v>5</v>
      </c>
      <c r="BG23" s="3">
        <v>5</v>
      </c>
      <c r="BH23" s="3">
        <v>5</v>
      </c>
      <c r="BI23" s="3">
        <v>5</v>
      </c>
      <c r="BJ23" s="3">
        <v>5</v>
      </c>
      <c r="BK23" s="3">
        <v>5</v>
      </c>
      <c r="BL23" s="3">
        <v>5</v>
      </c>
      <c r="BM23" s="3">
        <v>5</v>
      </c>
      <c r="BN23" s="3">
        <v>5</v>
      </c>
      <c r="BO23" s="3">
        <v>4</v>
      </c>
      <c r="BP23" s="3">
        <v>5</v>
      </c>
      <c r="BQ23" s="3">
        <v>4</v>
      </c>
      <c r="BR23" s="3">
        <v>5</v>
      </c>
      <c r="BS23" s="3">
        <v>5</v>
      </c>
      <c r="BT23" s="3">
        <v>5</v>
      </c>
      <c r="BU23" s="3">
        <v>5</v>
      </c>
      <c r="BV23" s="3">
        <v>5</v>
      </c>
      <c r="BW23" s="3">
        <v>5</v>
      </c>
      <c r="BX23" s="3">
        <v>4</v>
      </c>
      <c r="BY23" s="3">
        <v>5</v>
      </c>
      <c r="BZ23" s="3">
        <v>5</v>
      </c>
      <c r="CA23" s="3">
        <v>4</v>
      </c>
      <c r="CB23" s="3">
        <v>5</v>
      </c>
      <c r="CC23" s="3">
        <v>5</v>
      </c>
      <c r="CD23" s="3">
        <v>5</v>
      </c>
      <c r="CF23" s="3">
        <v>21</v>
      </c>
      <c r="CG23" s="3">
        <v>50</v>
      </c>
      <c r="CH23" s="3">
        <v>86</v>
      </c>
      <c r="CI23" s="6">
        <f>COUNTIF(AG23:BB23, "Dispone")/22</f>
        <v>0.95454545454545459</v>
      </c>
      <c r="CJ23" s="7">
        <f>AVERAGE(BC23:BL23)</f>
        <v>5</v>
      </c>
      <c r="CK23" s="15">
        <f>AVERAGE(BM23:CD23)</f>
        <v>4.7777777777777777</v>
      </c>
      <c r="CL23" s="9" t="str">
        <f>IF(AND(CI23&gt;50%, CJ23&gt;2.5, CK23&gt;2.5), "Compromiso", "")</f>
        <v>Compromiso</v>
      </c>
      <c r="CM23" s="9" t="str">
        <f>IF(AND(CI23&gt;75%, CJ23&gt;4, CK23&gt;4), "Liderazgo", "")</f>
        <v>Liderazgo</v>
      </c>
      <c r="CN23" s="9" t="str">
        <f>IF(AND(CI23&gt;90%, CJ23&gt;4.5, CK23&gt;4.5), "Transformación", "")</f>
        <v>Transformación</v>
      </c>
      <c r="CO23" s="9" t="s">
        <v>132</v>
      </c>
      <c r="CP23" s="3" t="s">
        <v>132</v>
      </c>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row>
    <row r="24" spans="1:155" ht="17.25" customHeight="1" x14ac:dyDescent="0.25">
      <c r="A24" s="16">
        <v>45958.712500000001</v>
      </c>
      <c r="B24" s="16">
        <v>45961.779166666667</v>
      </c>
      <c r="C24" s="3" t="s">
        <v>96</v>
      </c>
      <c r="D24" s="11">
        <v>186155104155</v>
      </c>
      <c r="E24" s="3">
        <v>264933</v>
      </c>
      <c r="F24" s="3" t="b">
        <v>1</v>
      </c>
      <c r="G24" s="16">
        <v>45961.779166666667</v>
      </c>
      <c r="H24" s="3" t="s">
        <v>782</v>
      </c>
      <c r="I24" s="3">
        <v>10.398199999999999</v>
      </c>
      <c r="J24" s="3">
        <v>-75.493300000000005</v>
      </c>
      <c r="K24" s="3" t="s">
        <v>98</v>
      </c>
      <c r="L24" s="3" t="s">
        <v>783</v>
      </c>
      <c r="M24" s="3" t="s">
        <v>107</v>
      </c>
      <c r="O24" s="3" t="s">
        <v>911</v>
      </c>
      <c r="Q24" s="3" t="s">
        <v>130</v>
      </c>
      <c r="AG24" s="3" t="s">
        <v>94</v>
      </c>
      <c r="AH24" s="3" t="s">
        <v>93</v>
      </c>
      <c r="AI24" s="5"/>
      <c r="AJ24" s="3" t="s">
        <v>93</v>
      </c>
      <c r="AK24" s="3" t="s">
        <v>93</v>
      </c>
      <c r="AL24" s="3" t="s">
        <v>93</v>
      </c>
      <c r="AM24" s="3" t="s">
        <v>93</v>
      </c>
      <c r="AN24" s="3" t="s">
        <v>93</v>
      </c>
      <c r="AO24" s="3" t="s">
        <v>93</v>
      </c>
      <c r="AP24" s="3" t="s">
        <v>93</v>
      </c>
      <c r="AQ24" s="3" t="s">
        <v>93</v>
      </c>
      <c r="AR24" s="3" t="s">
        <v>94</v>
      </c>
      <c r="AS24" s="3" t="s">
        <v>93</v>
      </c>
      <c r="AT24" s="3" t="s">
        <v>93</v>
      </c>
      <c r="AU24" s="3" t="s">
        <v>94</v>
      </c>
      <c r="AV24" s="3" t="s">
        <v>93</v>
      </c>
      <c r="AW24" s="3" t="s">
        <v>93</v>
      </c>
      <c r="AX24" s="3" t="s">
        <v>93</v>
      </c>
      <c r="AY24" s="3" t="s">
        <v>93</v>
      </c>
      <c r="AZ24" s="3" t="s">
        <v>93</v>
      </c>
      <c r="BA24" s="3" t="s">
        <v>93</v>
      </c>
      <c r="BB24" s="3" t="s">
        <v>93</v>
      </c>
      <c r="BC24" s="3">
        <v>1</v>
      </c>
      <c r="BD24" s="3">
        <v>1</v>
      </c>
      <c r="BE24" s="3">
        <v>1</v>
      </c>
      <c r="BF24" s="3">
        <v>1</v>
      </c>
      <c r="BG24" s="3">
        <v>1</v>
      </c>
      <c r="BH24" s="3">
        <v>1</v>
      </c>
      <c r="BI24" s="3">
        <v>1</v>
      </c>
      <c r="BJ24" s="3">
        <v>1</v>
      </c>
      <c r="BK24" s="3">
        <v>1</v>
      </c>
      <c r="BL24" s="3">
        <v>1</v>
      </c>
      <c r="BM24" s="3">
        <v>2</v>
      </c>
      <c r="BN24" s="3">
        <v>2</v>
      </c>
      <c r="BO24" s="3">
        <v>2</v>
      </c>
      <c r="BP24" s="3">
        <v>2</v>
      </c>
      <c r="BQ24" s="3">
        <v>2</v>
      </c>
      <c r="BR24" s="3">
        <v>2</v>
      </c>
      <c r="BS24" s="3">
        <v>2</v>
      </c>
      <c r="BT24" s="3">
        <v>2</v>
      </c>
      <c r="BU24" s="3">
        <v>2</v>
      </c>
      <c r="BV24" s="3">
        <v>2</v>
      </c>
      <c r="BW24" s="3">
        <v>2</v>
      </c>
      <c r="BX24" s="3">
        <v>2</v>
      </c>
      <c r="BY24" s="3">
        <v>2</v>
      </c>
      <c r="BZ24" s="3">
        <v>2</v>
      </c>
      <c r="CA24" s="3">
        <v>2</v>
      </c>
      <c r="CB24" s="3">
        <v>2</v>
      </c>
      <c r="CC24" s="3">
        <v>2</v>
      </c>
      <c r="CD24" s="3">
        <v>2</v>
      </c>
      <c r="CF24" s="3">
        <f>COUNTIF(AG24:BB24, "Dispone")</f>
        <v>18</v>
      </c>
      <c r="CG24" s="3">
        <v>10</v>
      </c>
      <c r="CH24" s="3">
        <f>SUM(BM24:CD24)</f>
        <v>36</v>
      </c>
      <c r="CI24" s="6">
        <f>COUNTIF(AG24:BB24, "Dispone")/22</f>
        <v>0.81818181818181823</v>
      </c>
      <c r="CJ24" s="7">
        <f>AVERAGE(BC24:BL24)</f>
        <v>1</v>
      </c>
      <c r="CK24" s="8">
        <f>AVERAGE(BM24:CD24)</f>
        <v>2</v>
      </c>
      <c r="CL24" s="9" t="str">
        <f>IF(AND(CI24&gt;50%, CJ24&gt;2.5, CK24&gt;2.5), "Compromiso", "")</f>
        <v/>
      </c>
      <c r="CM24" s="9" t="str">
        <f>IF(AND(CI24&gt;75%, CJ24&gt;4, CK24&gt;4), "Liderazgo", "")</f>
        <v/>
      </c>
      <c r="CN24" s="9" t="str">
        <f>IF(AND(CI24&gt;90%, CJ24&gt;4.5, CK24&gt;4.5), "Transformación", "")</f>
        <v/>
      </c>
      <c r="CO24" s="9" t="s">
        <v>581</v>
      </c>
      <c r="CP24" s="3" t="s">
        <v>146</v>
      </c>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row>
    <row r="25" spans="1:155" ht="17.25" customHeight="1" x14ac:dyDescent="0.25">
      <c r="A25" s="12">
        <v>45859.43167824074</v>
      </c>
      <c r="B25" s="12">
        <v>45862.45480324074</v>
      </c>
      <c r="C25" s="9" t="s">
        <v>96</v>
      </c>
      <c r="D25" s="9" t="s">
        <v>379</v>
      </c>
      <c r="E25" s="13">
        <v>261197</v>
      </c>
      <c r="F25" s="9" t="s">
        <v>105</v>
      </c>
      <c r="G25" s="12">
        <v>45862.45481398148</v>
      </c>
      <c r="H25" s="9" t="s">
        <v>380</v>
      </c>
      <c r="I25" s="13">
        <v>41.6526</v>
      </c>
      <c r="J25" s="13">
        <v>-4.7343000000000002</v>
      </c>
      <c r="K25" s="9" t="s">
        <v>98</v>
      </c>
      <c r="L25" s="9" t="s">
        <v>381</v>
      </c>
      <c r="M25" s="3" t="s">
        <v>382</v>
      </c>
      <c r="N25" s="9" t="s">
        <v>383</v>
      </c>
      <c r="O25" s="3" t="s">
        <v>910</v>
      </c>
      <c r="P25" s="9" t="s">
        <v>384</v>
      </c>
      <c r="Q25" s="9" t="s">
        <v>231</v>
      </c>
      <c r="R25" s="3">
        <v>1962</v>
      </c>
      <c r="S25" s="3">
        <v>2317</v>
      </c>
      <c r="T25" s="3">
        <v>28297</v>
      </c>
      <c r="U25" s="3">
        <v>0</v>
      </c>
      <c r="V25" s="3">
        <v>0</v>
      </c>
      <c r="W25" s="9" t="s">
        <v>91</v>
      </c>
      <c r="X25" s="3">
        <v>0.22</v>
      </c>
      <c r="Y25" s="9" t="s">
        <v>92</v>
      </c>
      <c r="Z25" s="3">
        <v>23</v>
      </c>
      <c r="AA25" s="3">
        <v>10742937</v>
      </c>
      <c r="AB25" s="3">
        <v>2114</v>
      </c>
      <c r="AC25" s="3">
        <v>24</v>
      </c>
      <c r="AD25" s="3">
        <v>170850</v>
      </c>
      <c r="AE25" s="3">
        <v>41</v>
      </c>
      <c r="AF25" s="3">
        <v>40450</v>
      </c>
      <c r="AG25" s="9" t="s">
        <v>94</v>
      </c>
      <c r="AH25" s="9" t="s">
        <v>93</v>
      </c>
      <c r="AI25" s="9" t="s">
        <v>94</v>
      </c>
      <c r="AJ25" s="9" t="s">
        <v>93</v>
      </c>
      <c r="AK25" s="9" t="s">
        <v>93</v>
      </c>
      <c r="AL25" s="9" t="s">
        <v>93</v>
      </c>
      <c r="AM25" s="9" t="s">
        <v>93</v>
      </c>
      <c r="AN25" s="9" t="s">
        <v>93</v>
      </c>
      <c r="AO25" s="9" t="s">
        <v>93</v>
      </c>
      <c r="AP25" s="9" t="s">
        <v>94</v>
      </c>
      <c r="AQ25" s="9" t="s">
        <v>93</v>
      </c>
      <c r="AR25" s="9" t="s">
        <v>93</v>
      </c>
      <c r="AS25" s="9" t="s">
        <v>94</v>
      </c>
      <c r="AT25" s="9" t="s">
        <v>94</v>
      </c>
      <c r="AU25" s="9" t="s">
        <v>93</v>
      </c>
      <c r="AV25" s="9" t="s">
        <v>93</v>
      </c>
      <c r="AW25" s="9" t="s">
        <v>93</v>
      </c>
      <c r="AX25" s="9" t="s">
        <v>94</v>
      </c>
      <c r="AY25" s="9" t="s">
        <v>93</v>
      </c>
      <c r="AZ25" s="9" t="s">
        <v>93</v>
      </c>
      <c r="BA25" s="9" t="s">
        <v>93</v>
      </c>
      <c r="BB25" s="9" t="s">
        <v>93</v>
      </c>
      <c r="BC25" s="11">
        <v>4</v>
      </c>
      <c r="BD25" s="11">
        <v>5</v>
      </c>
      <c r="BE25" s="11">
        <v>5</v>
      </c>
      <c r="BF25" s="11">
        <v>5</v>
      </c>
      <c r="BG25" s="11">
        <v>2</v>
      </c>
      <c r="BH25" s="11">
        <v>5</v>
      </c>
      <c r="BI25" s="11">
        <v>4</v>
      </c>
      <c r="BJ25" s="11">
        <v>5</v>
      </c>
      <c r="BK25" s="11">
        <v>2</v>
      </c>
      <c r="BL25" s="11">
        <v>4</v>
      </c>
      <c r="BM25" s="11">
        <v>5</v>
      </c>
      <c r="BN25" s="11">
        <v>5</v>
      </c>
      <c r="BO25" s="11">
        <v>5</v>
      </c>
      <c r="BP25" s="11">
        <v>3</v>
      </c>
      <c r="BQ25" s="11">
        <v>5</v>
      </c>
      <c r="BR25" s="11">
        <v>5</v>
      </c>
      <c r="BS25" s="11">
        <v>5</v>
      </c>
      <c r="BT25" s="11">
        <v>5</v>
      </c>
      <c r="BU25" s="11">
        <v>5</v>
      </c>
      <c r="BV25" s="11">
        <v>5</v>
      </c>
      <c r="BW25" s="11">
        <v>5</v>
      </c>
      <c r="BX25" s="11">
        <v>2</v>
      </c>
      <c r="BY25" s="11">
        <v>5</v>
      </c>
      <c r="BZ25" s="11">
        <v>2</v>
      </c>
      <c r="CA25" s="11">
        <v>4</v>
      </c>
      <c r="CB25" s="11">
        <v>5</v>
      </c>
      <c r="CC25" s="11">
        <v>5</v>
      </c>
      <c r="CD25" s="11">
        <v>5</v>
      </c>
      <c r="CE25" s="9" t="s">
        <v>385</v>
      </c>
      <c r="CF25" s="3">
        <v>16</v>
      </c>
      <c r="CG25" s="3">
        <v>41</v>
      </c>
      <c r="CH25" s="3">
        <v>81</v>
      </c>
      <c r="CI25" s="6">
        <f>COUNTIF(AG25:BB25, "Dispone")/22</f>
        <v>0.72727272727272729</v>
      </c>
      <c r="CJ25" s="7">
        <f>AVERAGE(BC25:BL25)</f>
        <v>4.0999999999999996</v>
      </c>
      <c r="CK25" s="15">
        <f>AVERAGE(BM25:CD25)</f>
        <v>4.5</v>
      </c>
      <c r="CL25" s="9" t="str">
        <f>IF(AND(CI25&gt;50%, CJ25&gt;2.5, CK25&gt;2.5), "Compromiso", "")</f>
        <v>Compromiso</v>
      </c>
      <c r="CM25" s="9" t="str">
        <f>IF(AND(CI25&gt;75%, CJ25&gt;4, CK25&gt;4), "Liderazgo", "")</f>
        <v/>
      </c>
      <c r="CN25" s="9" t="str">
        <f>IF(AND(CI25&gt;90%, CJ25&gt;4.5, CK25&gt;4.5), "Transformación", "")</f>
        <v/>
      </c>
      <c r="CO25" s="9" t="s">
        <v>95</v>
      </c>
      <c r="CP25" s="3" t="s">
        <v>146</v>
      </c>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row>
    <row r="26" spans="1:155" ht="17.25" customHeight="1" x14ac:dyDescent="0.25">
      <c r="A26" s="16">
        <v>45958.006944444445</v>
      </c>
      <c r="B26" s="16">
        <v>45960.720833333333</v>
      </c>
      <c r="C26" s="3" t="s">
        <v>96</v>
      </c>
      <c r="D26" s="3" t="s">
        <v>571</v>
      </c>
      <c r="E26" s="3">
        <v>234512</v>
      </c>
      <c r="F26" s="3" t="b">
        <v>1</v>
      </c>
      <c r="G26" s="16">
        <v>45960.720833333333</v>
      </c>
      <c r="H26" s="3" t="s">
        <v>572</v>
      </c>
      <c r="I26" s="3">
        <v>-12.045999999999999</v>
      </c>
      <c r="J26" s="3">
        <v>-77.030500000000004</v>
      </c>
      <c r="K26" s="3" t="s">
        <v>98</v>
      </c>
      <c r="L26" s="3" t="s">
        <v>573</v>
      </c>
      <c r="M26" s="3" t="s">
        <v>107</v>
      </c>
      <c r="O26" s="3" t="s">
        <v>907</v>
      </c>
      <c r="Q26" s="3" t="s">
        <v>130</v>
      </c>
      <c r="AG26" s="3" t="s">
        <v>94</v>
      </c>
      <c r="AH26" s="3" t="s">
        <v>93</v>
      </c>
      <c r="AJ26" s="3" t="s">
        <v>93</v>
      </c>
      <c r="AK26" s="3" t="s">
        <v>93</v>
      </c>
      <c r="AL26" s="3" t="s">
        <v>93</v>
      </c>
      <c r="AM26" s="3" t="s">
        <v>93</v>
      </c>
      <c r="AN26" s="3" t="s">
        <v>93</v>
      </c>
      <c r="AO26" s="3" t="s">
        <v>93</v>
      </c>
      <c r="AP26" s="3" t="s">
        <v>94</v>
      </c>
      <c r="AQ26" s="3" t="s">
        <v>93</v>
      </c>
      <c r="AR26" s="3" t="s">
        <v>93</v>
      </c>
      <c r="AS26" s="3" t="s">
        <v>93</v>
      </c>
      <c r="AT26" s="3" t="s">
        <v>93</v>
      </c>
      <c r="AU26" s="3" t="s">
        <v>93</v>
      </c>
      <c r="AV26" s="3" t="s">
        <v>93</v>
      </c>
      <c r="AW26" s="3" t="s">
        <v>93</v>
      </c>
      <c r="AX26" s="3" t="s">
        <v>94</v>
      </c>
      <c r="AY26" s="3" t="s">
        <v>93</v>
      </c>
      <c r="AZ26" s="3" t="s">
        <v>93</v>
      </c>
      <c r="BA26" s="3" t="s">
        <v>93</v>
      </c>
      <c r="BB26" s="3" t="s">
        <v>93</v>
      </c>
      <c r="BC26" s="3">
        <v>5</v>
      </c>
      <c r="BD26" s="3">
        <v>5</v>
      </c>
      <c r="BE26" s="3">
        <v>5</v>
      </c>
      <c r="BF26" s="3">
        <v>5</v>
      </c>
      <c r="BG26" s="3">
        <v>5</v>
      </c>
      <c r="BH26" s="3">
        <v>5</v>
      </c>
      <c r="BI26" s="3">
        <v>5</v>
      </c>
      <c r="BJ26" s="3">
        <v>5</v>
      </c>
      <c r="BK26" s="3">
        <v>5</v>
      </c>
      <c r="BL26" s="3">
        <v>4</v>
      </c>
      <c r="BM26" s="3">
        <v>5</v>
      </c>
      <c r="BN26" s="3">
        <v>5</v>
      </c>
      <c r="BO26" s="3">
        <v>5</v>
      </c>
      <c r="BP26" s="3">
        <v>3</v>
      </c>
      <c r="BQ26" s="3">
        <v>5</v>
      </c>
      <c r="BR26" s="3">
        <v>5</v>
      </c>
      <c r="BS26" s="3">
        <v>5</v>
      </c>
      <c r="BT26" s="3">
        <v>5</v>
      </c>
      <c r="BU26" s="3">
        <v>4</v>
      </c>
      <c r="BV26" s="3">
        <v>5</v>
      </c>
      <c r="BW26" s="3">
        <v>5</v>
      </c>
      <c r="BX26" s="3">
        <v>5</v>
      </c>
      <c r="BY26" s="3">
        <v>5</v>
      </c>
      <c r="BZ26" s="3">
        <v>5</v>
      </c>
      <c r="CA26" s="3">
        <v>5</v>
      </c>
      <c r="CB26" s="3">
        <v>5</v>
      </c>
      <c r="CC26" s="3">
        <v>5</v>
      </c>
      <c r="CD26" s="3">
        <v>5</v>
      </c>
      <c r="CF26" s="3">
        <f>COUNTIF(AG26:BB26, "Dispone")</f>
        <v>18</v>
      </c>
      <c r="CG26" s="3">
        <v>49</v>
      </c>
      <c r="CH26" s="3">
        <f>SUM(BM26:CD26)</f>
        <v>87</v>
      </c>
      <c r="CI26" s="6">
        <f>COUNTIF(AG26:BB26, "Dispone")/22</f>
        <v>0.81818181818181823</v>
      </c>
      <c r="CJ26" s="7">
        <f>AVERAGE(BC26:BL26)</f>
        <v>4.9000000000000004</v>
      </c>
      <c r="CK26" s="8">
        <f>AVERAGE(BM26:CD26)</f>
        <v>4.833333333333333</v>
      </c>
      <c r="CL26" s="9" t="str">
        <f>IF(AND(CI26&gt;50%, CJ26&gt;2.5, CK26&gt;2.5), "Compromiso", "")</f>
        <v>Compromiso</v>
      </c>
      <c r="CM26" s="9" t="str">
        <f>IF(AND(CI26&gt;75%, CJ26&gt;4, CK26&gt;4), "Liderazgo", "")</f>
        <v>Liderazgo</v>
      </c>
      <c r="CN26" s="9" t="str">
        <f>IF(AND(CI26&gt;90%, CJ26&gt;4.5, CK26&gt;4.5), "Transformación", "")</f>
        <v/>
      </c>
      <c r="CO26" s="9" t="s">
        <v>103</v>
      </c>
      <c r="CP26" s="3" t="s">
        <v>103</v>
      </c>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row>
    <row r="27" spans="1:155" ht="17.25" customHeight="1" x14ac:dyDescent="0.25">
      <c r="A27" s="16">
        <v>45972.412499999999</v>
      </c>
      <c r="B27" s="16">
        <v>45974.65347222222</v>
      </c>
      <c r="C27" s="3" t="s">
        <v>96</v>
      </c>
      <c r="D27" s="3" t="s">
        <v>476</v>
      </c>
      <c r="E27" s="3">
        <v>193604</v>
      </c>
      <c r="F27" s="3" t="b">
        <v>1</v>
      </c>
      <c r="G27" s="16">
        <v>45974.65347222222</v>
      </c>
      <c r="H27" s="3" t="s">
        <v>477</v>
      </c>
      <c r="I27" s="3">
        <v>43.461100000000002</v>
      </c>
      <c r="J27" s="3">
        <v>-3.8020999999999998</v>
      </c>
      <c r="K27" s="3" t="s">
        <v>98</v>
      </c>
      <c r="L27" s="3" t="s">
        <v>478</v>
      </c>
      <c r="M27" s="3" t="s">
        <v>479</v>
      </c>
      <c r="N27" s="3" t="s">
        <v>480</v>
      </c>
      <c r="O27" s="3" t="s">
        <v>481</v>
      </c>
      <c r="P27" s="3" t="s">
        <v>482</v>
      </c>
      <c r="Q27" s="3" t="s">
        <v>124</v>
      </c>
      <c r="R27" s="3">
        <v>1959</v>
      </c>
      <c r="S27" s="3">
        <v>2.827</v>
      </c>
      <c r="T27" s="3">
        <v>10.911</v>
      </c>
      <c r="U27" s="3">
        <v>0</v>
      </c>
      <c r="V27" s="3">
        <v>0</v>
      </c>
      <c r="W27" s="3" t="s">
        <v>91</v>
      </c>
      <c r="X27" s="3">
        <v>0</v>
      </c>
      <c r="Y27" s="3" t="s">
        <v>92</v>
      </c>
      <c r="Z27" s="3">
        <v>71</v>
      </c>
      <c r="AA27" s="3">
        <v>3345491</v>
      </c>
      <c r="AB27" s="3">
        <v>4132</v>
      </c>
      <c r="AC27" s="3">
        <v>10</v>
      </c>
      <c r="AD27" s="3">
        <v>94479</v>
      </c>
      <c r="AE27" s="3">
        <v>2447</v>
      </c>
      <c r="AF27" s="17">
        <v>100000000</v>
      </c>
      <c r="AG27" s="3" t="s">
        <v>93</v>
      </c>
      <c r="AH27" s="3" t="s">
        <v>93</v>
      </c>
      <c r="AI27" s="3" t="s">
        <v>94</v>
      </c>
      <c r="AJ27" s="3" t="s">
        <v>93</v>
      </c>
      <c r="AK27" s="3" t="s">
        <v>93</v>
      </c>
      <c r="AL27" s="3" t="s">
        <v>93</v>
      </c>
      <c r="AM27" s="3" t="s">
        <v>93</v>
      </c>
      <c r="AN27" s="3" t="s">
        <v>93</v>
      </c>
      <c r="AO27" s="3" t="s">
        <v>93</v>
      </c>
      <c r="AP27" s="3" t="s">
        <v>93</v>
      </c>
      <c r="AQ27" s="3" t="s">
        <v>94</v>
      </c>
      <c r="AR27" s="3" t="s">
        <v>93</v>
      </c>
      <c r="AS27" s="3" t="s">
        <v>93</v>
      </c>
      <c r="AT27" s="3" t="s">
        <v>93</v>
      </c>
      <c r="AU27" s="3" t="s">
        <v>93</v>
      </c>
      <c r="AV27" s="3" t="s">
        <v>94</v>
      </c>
      <c r="AW27" s="3" t="s">
        <v>93</v>
      </c>
      <c r="AX27" s="3" t="s">
        <v>94</v>
      </c>
      <c r="AY27" s="3" t="s">
        <v>93</v>
      </c>
      <c r="AZ27" s="3" t="s">
        <v>93</v>
      </c>
      <c r="BA27" s="3" t="s">
        <v>93</v>
      </c>
      <c r="BB27" s="3" t="s">
        <v>93</v>
      </c>
      <c r="BC27" s="3">
        <v>5</v>
      </c>
      <c r="BD27" s="3">
        <v>5</v>
      </c>
      <c r="BE27" s="3">
        <v>5</v>
      </c>
      <c r="BF27" s="3">
        <v>5</v>
      </c>
      <c r="BG27" s="3">
        <v>5</v>
      </c>
      <c r="BH27" s="3">
        <v>5</v>
      </c>
      <c r="BI27" s="3">
        <v>5</v>
      </c>
      <c r="BJ27" s="3">
        <v>5</v>
      </c>
      <c r="BK27" s="3">
        <v>5</v>
      </c>
      <c r="BL27" s="3">
        <v>5</v>
      </c>
      <c r="BM27" s="3">
        <v>5</v>
      </c>
      <c r="BN27" s="3">
        <v>5</v>
      </c>
      <c r="BO27" s="3">
        <v>5</v>
      </c>
      <c r="BP27" s="3">
        <v>2</v>
      </c>
      <c r="BQ27" s="3">
        <v>3</v>
      </c>
      <c r="BR27" s="3">
        <v>3</v>
      </c>
      <c r="BS27" s="3">
        <v>2</v>
      </c>
      <c r="BT27" s="3">
        <v>3</v>
      </c>
      <c r="BU27" s="3">
        <v>4</v>
      </c>
      <c r="BV27" s="3">
        <v>5</v>
      </c>
      <c r="BW27" s="3">
        <v>5</v>
      </c>
      <c r="BX27" s="3">
        <v>5</v>
      </c>
      <c r="BY27" s="3">
        <v>3</v>
      </c>
      <c r="BZ27" s="3">
        <v>5</v>
      </c>
      <c r="CA27" s="3">
        <v>5</v>
      </c>
      <c r="CB27" s="3">
        <v>5</v>
      </c>
      <c r="CC27" s="3">
        <v>5</v>
      </c>
      <c r="CD27" s="3">
        <v>5</v>
      </c>
      <c r="CE27" s="3" t="s">
        <v>483</v>
      </c>
      <c r="CF27" s="3">
        <v>18</v>
      </c>
      <c r="CG27" s="3">
        <v>50</v>
      </c>
      <c r="CH27" s="3">
        <v>75</v>
      </c>
      <c r="CI27" s="6">
        <f>COUNTIF(AG27:BB27, "Dispone")/22</f>
        <v>0.81818181818181823</v>
      </c>
      <c r="CJ27" s="7">
        <f>AVERAGE(BC27:BL27)</f>
        <v>5</v>
      </c>
      <c r="CK27" s="15">
        <f>AVERAGE(BM27:CD27)</f>
        <v>4.166666666666667</v>
      </c>
      <c r="CL27" s="9" t="str">
        <f>IF(AND(CI27&gt;50%, CJ27&gt;2.5, CK27&gt;2.5), "Compromiso", "")</f>
        <v>Compromiso</v>
      </c>
      <c r="CM27" s="9" t="str">
        <f>IF(AND(CI27&gt;75%, CJ27&gt;4, CK27&gt;4), "Liderazgo", "")</f>
        <v>Liderazgo</v>
      </c>
      <c r="CN27" s="9" t="str">
        <f>IF(AND(CI27&gt;90%, CJ27&gt;4.5, CK27&gt;4.5), "Transformación", "")</f>
        <v/>
      </c>
      <c r="CO27" s="9" t="s">
        <v>103</v>
      </c>
      <c r="CP27" s="3" t="s">
        <v>95</v>
      </c>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row>
    <row r="28" spans="1:155" ht="17.25" customHeight="1" x14ac:dyDescent="0.25">
      <c r="A28" s="16">
        <v>45986.581944444442</v>
      </c>
      <c r="B28" s="16">
        <v>45988.800694444442</v>
      </c>
      <c r="C28" s="3" t="s">
        <v>96</v>
      </c>
      <c r="D28" s="3" t="s">
        <v>126</v>
      </c>
      <c r="E28" s="3">
        <v>191704</v>
      </c>
      <c r="F28" s="3" t="b">
        <v>1</v>
      </c>
      <c r="G28" s="16">
        <v>45988.800694444442</v>
      </c>
      <c r="H28" s="3" t="s">
        <v>127</v>
      </c>
      <c r="I28" s="3">
        <v>-32.075400000000002</v>
      </c>
      <c r="J28" s="3">
        <v>-52.352600000000002</v>
      </c>
      <c r="K28" s="9" t="s">
        <v>98</v>
      </c>
      <c r="L28" s="3" t="s">
        <v>128</v>
      </c>
      <c r="M28" s="3" t="s">
        <v>880</v>
      </c>
      <c r="N28" s="3" t="s">
        <v>129</v>
      </c>
      <c r="O28" s="3" t="s">
        <v>917</v>
      </c>
      <c r="P28" s="3">
        <v>673777677</v>
      </c>
      <c r="Q28" s="3" t="s">
        <v>130</v>
      </c>
      <c r="R28" s="3">
        <v>2023</v>
      </c>
      <c r="S28" s="3">
        <v>150</v>
      </c>
      <c r="T28" s="3">
        <v>0</v>
      </c>
      <c r="U28" s="3">
        <v>1500</v>
      </c>
      <c r="V28" s="3">
        <v>200</v>
      </c>
      <c r="W28" s="3" t="s">
        <v>91</v>
      </c>
      <c r="X28" s="3">
        <v>5</v>
      </c>
      <c r="Y28" s="3" t="s">
        <v>92</v>
      </c>
      <c r="Z28" s="3">
        <v>1</v>
      </c>
      <c r="AA28" s="3">
        <v>67500</v>
      </c>
      <c r="AB28" s="3">
        <v>19</v>
      </c>
      <c r="AC28" s="3">
        <v>80</v>
      </c>
      <c r="AD28" s="3">
        <v>935</v>
      </c>
      <c r="AE28" s="3">
        <v>10</v>
      </c>
      <c r="AF28" s="3">
        <v>5500</v>
      </c>
      <c r="AG28" s="3" t="s">
        <v>93</v>
      </c>
      <c r="AH28" s="3" t="s">
        <v>93</v>
      </c>
      <c r="AI28" s="3" t="s">
        <v>93</v>
      </c>
      <c r="AJ28" s="3" t="s">
        <v>93</v>
      </c>
      <c r="AK28" s="3" t="s">
        <v>93</v>
      </c>
      <c r="AL28" s="3" t="s">
        <v>93</v>
      </c>
      <c r="AM28" s="3" t="s">
        <v>93</v>
      </c>
      <c r="AN28" s="3" t="s">
        <v>94</v>
      </c>
      <c r="AO28" s="3" t="s">
        <v>93</v>
      </c>
      <c r="AP28" s="3" t="s">
        <v>93</v>
      </c>
      <c r="AQ28" s="3" t="s">
        <v>93</v>
      </c>
      <c r="AR28" s="3" t="s">
        <v>93</v>
      </c>
      <c r="AS28" s="3" t="s">
        <v>93</v>
      </c>
      <c r="AT28" s="3" t="s">
        <v>93</v>
      </c>
      <c r="AU28" s="3" t="s">
        <v>93</v>
      </c>
      <c r="AV28" s="3" t="s">
        <v>93</v>
      </c>
      <c r="AW28" s="3" t="s">
        <v>94</v>
      </c>
      <c r="AX28" s="3" t="s">
        <v>94</v>
      </c>
      <c r="AY28" s="3" t="s">
        <v>94</v>
      </c>
      <c r="AZ28" s="3" t="s">
        <v>93</v>
      </c>
      <c r="BA28" s="3" t="s">
        <v>93</v>
      </c>
      <c r="BB28" s="3" t="s">
        <v>93</v>
      </c>
      <c r="BC28" s="3">
        <v>4</v>
      </c>
      <c r="BD28" s="3">
        <v>3</v>
      </c>
      <c r="BE28" s="3">
        <v>3</v>
      </c>
      <c r="BF28" s="3">
        <v>4</v>
      </c>
      <c r="BG28" s="3">
        <v>4</v>
      </c>
      <c r="BH28" s="3">
        <v>3</v>
      </c>
      <c r="BI28" s="3">
        <v>3</v>
      </c>
      <c r="BJ28" s="3">
        <v>4</v>
      </c>
      <c r="BK28" s="3">
        <v>3</v>
      </c>
      <c r="BL28" s="3">
        <v>4</v>
      </c>
      <c r="BM28" s="3">
        <v>3</v>
      </c>
      <c r="BN28" s="3">
        <v>3</v>
      </c>
      <c r="BO28" s="3">
        <v>5</v>
      </c>
      <c r="BP28" s="3">
        <v>5</v>
      </c>
      <c r="BQ28" s="3">
        <v>5</v>
      </c>
      <c r="BR28" s="3">
        <v>4</v>
      </c>
      <c r="BS28" s="3">
        <v>4</v>
      </c>
      <c r="BT28" s="3">
        <v>5</v>
      </c>
      <c r="BU28" s="3">
        <v>5</v>
      </c>
      <c r="BV28" s="3">
        <v>3</v>
      </c>
      <c r="BW28" s="3">
        <v>5</v>
      </c>
      <c r="BX28" s="3">
        <v>5</v>
      </c>
      <c r="BY28" s="3">
        <v>5</v>
      </c>
      <c r="BZ28" s="3">
        <v>5</v>
      </c>
      <c r="CA28" s="3">
        <v>5</v>
      </c>
      <c r="CB28" s="3">
        <v>5</v>
      </c>
      <c r="CC28" s="3">
        <v>4</v>
      </c>
      <c r="CD28" s="3">
        <v>5</v>
      </c>
      <c r="CE28" s="3" t="s">
        <v>131</v>
      </c>
      <c r="CF28" s="3">
        <v>18</v>
      </c>
      <c r="CG28" s="3">
        <v>35</v>
      </c>
      <c r="CH28" s="3">
        <v>81</v>
      </c>
      <c r="CI28" s="6">
        <f>COUNTIF(AG28:BB28, "Dispone")/22</f>
        <v>0.81818181818181823</v>
      </c>
      <c r="CJ28" s="7">
        <f>AVERAGE(BC28:BL28)</f>
        <v>3.5</v>
      </c>
      <c r="CK28" s="15">
        <f>AVERAGE(BM28:CD28)</f>
        <v>4.5</v>
      </c>
      <c r="CL28" s="9" t="str">
        <f>IF(AND(CI28&gt;50%, CJ28&gt;2.5, CK28&gt;2.5), "Compromiso", "")</f>
        <v>Compromiso</v>
      </c>
      <c r="CM28" s="9" t="str">
        <f>IF(AND(CI28&gt;75%, CJ28&gt;4, CK28&gt;4), "Liderazgo", "")</f>
        <v/>
      </c>
      <c r="CN28" s="9" t="str">
        <f>IF(AND(CI28&gt;90%, CJ28&gt;4.5, CK28&gt;4.5), "Transformación", "")</f>
        <v/>
      </c>
      <c r="CO28" s="9" t="s">
        <v>95</v>
      </c>
      <c r="CP28" s="3" t="s">
        <v>146</v>
      </c>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row>
    <row r="29" spans="1:155" ht="17.25" customHeight="1" x14ac:dyDescent="0.25">
      <c r="A29" s="16">
        <v>45975.525000000001</v>
      </c>
      <c r="B29" s="16">
        <v>45977.720138888886</v>
      </c>
      <c r="C29" s="3" t="s">
        <v>96</v>
      </c>
      <c r="D29" s="3" t="s">
        <v>342</v>
      </c>
      <c r="E29" s="3">
        <v>189690</v>
      </c>
      <c r="F29" s="3" t="b">
        <v>1</v>
      </c>
      <c r="G29" s="16">
        <v>45977.720138888886</v>
      </c>
      <c r="H29" s="3" t="s">
        <v>343</v>
      </c>
      <c r="I29" s="3">
        <v>39.566099999999999</v>
      </c>
      <c r="J29" s="3">
        <v>2.6486999999999998</v>
      </c>
      <c r="K29" s="3" t="s">
        <v>98</v>
      </c>
      <c r="L29" s="3" t="s">
        <v>344</v>
      </c>
      <c r="M29" s="3" t="s">
        <v>345</v>
      </c>
      <c r="N29" s="3" t="s">
        <v>346</v>
      </c>
      <c r="O29" s="3" t="s">
        <v>918</v>
      </c>
      <c r="P29" s="3">
        <v>2381350184</v>
      </c>
      <c r="Q29" s="3" t="s">
        <v>144</v>
      </c>
      <c r="R29" s="3">
        <v>2009</v>
      </c>
      <c r="S29" s="3">
        <v>250</v>
      </c>
      <c r="T29" s="3">
        <v>3000</v>
      </c>
      <c r="U29" s="3">
        <v>8</v>
      </c>
      <c r="V29" s="3">
        <v>0</v>
      </c>
      <c r="W29" s="3" t="s">
        <v>118</v>
      </c>
      <c r="X29" s="3">
        <v>0</v>
      </c>
      <c r="Y29" s="3" t="s">
        <v>92</v>
      </c>
      <c r="Z29" s="3">
        <v>8</v>
      </c>
      <c r="AA29" s="3">
        <v>50000</v>
      </c>
      <c r="AB29" s="3">
        <v>0</v>
      </c>
      <c r="AC29" s="3">
        <v>10</v>
      </c>
      <c r="AD29" s="3">
        <v>36000</v>
      </c>
      <c r="AE29" s="3">
        <v>250</v>
      </c>
      <c r="AF29" s="3">
        <v>100</v>
      </c>
      <c r="AG29" s="3" t="s">
        <v>93</v>
      </c>
      <c r="AH29" s="3" t="s">
        <v>93</v>
      </c>
      <c r="AI29" s="3" t="s">
        <v>94</v>
      </c>
      <c r="AJ29" s="3" t="s">
        <v>93</v>
      </c>
      <c r="AK29" s="3" t="s">
        <v>93</v>
      </c>
      <c r="AL29" s="3" t="s">
        <v>93</v>
      </c>
      <c r="AM29" s="3" t="s">
        <v>93</v>
      </c>
      <c r="AN29" s="3" t="s">
        <v>93</v>
      </c>
      <c r="AO29" s="3" t="s">
        <v>93</v>
      </c>
      <c r="AP29" s="3" t="s">
        <v>93</v>
      </c>
      <c r="AQ29" s="3" t="s">
        <v>93</v>
      </c>
      <c r="AR29" s="3" t="s">
        <v>93</v>
      </c>
      <c r="AS29" s="3" t="s">
        <v>93</v>
      </c>
      <c r="AT29" s="3" t="s">
        <v>94</v>
      </c>
      <c r="AU29" s="3" t="s">
        <v>93</v>
      </c>
      <c r="AV29" s="3" t="s">
        <v>93</v>
      </c>
      <c r="AW29" s="3" t="s">
        <v>94</v>
      </c>
      <c r="AX29" s="3" t="s">
        <v>94</v>
      </c>
      <c r="AY29" s="3" t="s">
        <v>94</v>
      </c>
      <c r="AZ29" s="3" t="s">
        <v>93</v>
      </c>
      <c r="BA29" s="3" t="s">
        <v>93</v>
      </c>
      <c r="BB29" s="3" t="s">
        <v>93</v>
      </c>
      <c r="BC29" s="3">
        <v>4</v>
      </c>
      <c r="BD29" s="3">
        <v>4</v>
      </c>
      <c r="BE29" s="3">
        <v>1</v>
      </c>
      <c r="BF29" s="3">
        <v>4</v>
      </c>
      <c r="BG29" s="3">
        <v>4</v>
      </c>
      <c r="BH29" s="3">
        <v>4</v>
      </c>
      <c r="BI29" s="3">
        <v>4</v>
      </c>
      <c r="BJ29" s="3">
        <v>4</v>
      </c>
      <c r="BK29" s="3">
        <v>4</v>
      </c>
      <c r="BL29" s="3">
        <v>4</v>
      </c>
      <c r="BM29" s="3">
        <v>1</v>
      </c>
      <c r="BN29" s="3">
        <v>4</v>
      </c>
      <c r="BO29" s="3">
        <v>5</v>
      </c>
      <c r="BP29" s="3">
        <v>2</v>
      </c>
      <c r="BQ29" s="3">
        <v>2</v>
      </c>
      <c r="BR29" s="3">
        <v>5</v>
      </c>
      <c r="BS29" s="3">
        <v>5</v>
      </c>
      <c r="BT29" s="3">
        <v>5</v>
      </c>
      <c r="BU29" s="3">
        <v>5</v>
      </c>
      <c r="BV29" s="3">
        <v>4</v>
      </c>
      <c r="BW29" s="3">
        <v>5</v>
      </c>
      <c r="BX29" s="3">
        <v>3</v>
      </c>
      <c r="BY29" s="3">
        <v>5</v>
      </c>
      <c r="BZ29" s="3">
        <v>5</v>
      </c>
      <c r="CA29" s="3">
        <v>5</v>
      </c>
      <c r="CB29" s="3">
        <v>5</v>
      </c>
      <c r="CC29" s="3">
        <v>5</v>
      </c>
      <c r="CD29" s="3">
        <v>5</v>
      </c>
      <c r="CE29" s="3" t="s">
        <v>347</v>
      </c>
      <c r="CF29" s="3">
        <v>17</v>
      </c>
      <c r="CG29" s="3">
        <v>37</v>
      </c>
      <c r="CH29" s="3">
        <v>76</v>
      </c>
      <c r="CI29" s="6">
        <f>COUNTIF(AG29:BB29, "Dispone")/22</f>
        <v>0.77272727272727271</v>
      </c>
      <c r="CJ29" s="7">
        <f>AVERAGE(BC29:BL29)</f>
        <v>3.7</v>
      </c>
      <c r="CK29" s="15">
        <f>AVERAGE(BM29:CD29)</f>
        <v>4.2222222222222223</v>
      </c>
      <c r="CL29" s="9" t="str">
        <f>IF(AND(CI29&gt;50%, CJ29&gt;2.5, CK29&gt;2.5), "Compromiso", "")</f>
        <v>Compromiso</v>
      </c>
      <c r="CM29" s="9" t="str">
        <f>IF(AND(CI29&gt;75%, CJ29&gt;4, CK29&gt;4), "Liderazgo", "")</f>
        <v/>
      </c>
      <c r="CN29" s="9" t="str">
        <f>IF(AND(CI29&gt;90%, CJ29&gt;4.5, CK29&gt;4.5), "Transformación", "")</f>
        <v/>
      </c>
      <c r="CO29" s="9" t="s">
        <v>95</v>
      </c>
      <c r="CP29" s="3" t="s">
        <v>95</v>
      </c>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row>
    <row r="30" spans="1:155" ht="17.25" customHeight="1" x14ac:dyDescent="0.25">
      <c r="A30" s="16">
        <v>45961.987500000003</v>
      </c>
      <c r="B30" s="10">
        <v>45964.17291666667</v>
      </c>
      <c r="C30" s="3" t="s">
        <v>96</v>
      </c>
      <c r="D30" s="3" t="s">
        <v>201</v>
      </c>
      <c r="E30" s="3">
        <v>188842</v>
      </c>
      <c r="F30" s="3" t="b">
        <v>1</v>
      </c>
      <c r="G30" s="10">
        <v>45964.17291666667</v>
      </c>
      <c r="H30" s="3" t="s">
        <v>202</v>
      </c>
      <c r="I30" s="3">
        <v>0.8</v>
      </c>
      <c r="J30" s="3">
        <v>-77.716700000000003</v>
      </c>
      <c r="K30" s="3" t="s">
        <v>98</v>
      </c>
      <c r="L30" s="3" t="s">
        <v>203</v>
      </c>
      <c r="M30" s="3" t="s">
        <v>204</v>
      </c>
      <c r="N30" s="3" t="s">
        <v>205</v>
      </c>
      <c r="O30" s="3" t="s">
        <v>919</v>
      </c>
      <c r="P30" s="3" t="s">
        <v>870</v>
      </c>
      <c r="Q30" s="3" t="s">
        <v>206</v>
      </c>
      <c r="R30" s="3">
        <v>1939</v>
      </c>
      <c r="S30" s="3">
        <v>7068</v>
      </c>
      <c r="T30" s="3">
        <v>45859</v>
      </c>
      <c r="U30" s="3">
        <v>0</v>
      </c>
      <c r="V30" s="3">
        <v>40000</v>
      </c>
      <c r="W30" s="3" t="s">
        <v>118</v>
      </c>
      <c r="X30" s="3">
        <v>9</v>
      </c>
      <c r="Y30" s="3" t="s">
        <v>92</v>
      </c>
      <c r="Z30" s="3">
        <v>100</v>
      </c>
      <c r="AA30" s="3">
        <v>250914</v>
      </c>
      <c r="AB30" s="3">
        <v>3813</v>
      </c>
      <c r="AC30" s="3">
        <v>8</v>
      </c>
      <c r="AD30" s="3">
        <v>0</v>
      </c>
      <c r="AE30" s="3">
        <v>0</v>
      </c>
      <c r="AF30" s="3">
        <v>40000</v>
      </c>
      <c r="AG30" s="3" t="s">
        <v>93</v>
      </c>
      <c r="AH30" s="3" t="s">
        <v>93</v>
      </c>
      <c r="AI30" s="3" t="s">
        <v>93</v>
      </c>
      <c r="AJ30" s="3" t="s">
        <v>93</v>
      </c>
      <c r="AK30" s="3" t="s">
        <v>93</v>
      </c>
      <c r="AL30" s="3" t="s">
        <v>93</v>
      </c>
      <c r="AM30" s="3" t="s">
        <v>93</v>
      </c>
      <c r="AN30" s="3" t="s">
        <v>93</v>
      </c>
      <c r="AO30" s="3" t="s">
        <v>93</v>
      </c>
      <c r="AP30" s="3" t="s">
        <v>93</v>
      </c>
      <c r="AQ30" s="3" t="s">
        <v>93</v>
      </c>
      <c r="AR30" s="3" t="s">
        <v>93</v>
      </c>
      <c r="AS30" s="3" t="s">
        <v>93</v>
      </c>
      <c r="AT30" s="3" t="s">
        <v>94</v>
      </c>
      <c r="AU30" s="3" t="s">
        <v>94</v>
      </c>
      <c r="AV30" s="3" t="s">
        <v>93</v>
      </c>
      <c r="AW30" s="3" t="s">
        <v>93</v>
      </c>
      <c r="AX30" s="3" t="s">
        <v>93</v>
      </c>
      <c r="AY30" s="3" t="s">
        <v>94</v>
      </c>
      <c r="AZ30" s="3" t="s">
        <v>93</v>
      </c>
      <c r="BA30" s="3" t="s">
        <v>93</v>
      </c>
      <c r="BB30" s="3" t="s">
        <v>93</v>
      </c>
      <c r="BC30" s="3">
        <v>2</v>
      </c>
      <c r="BD30" s="3">
        <v>2</v>
      </c>
      <c r="BE30" s="3">
        <v>2</v>
      </c>
      <c r="BF30" s="3">
        <v>3</v>
      </c>
      <c r="BG30" s="3">
        <v>3</v>
      </c>
      <c r="BH30" s="3">
        <v>5</v>
      </c>
      <c r="BI30" s="3">
        <v>2</v>
      </c>
      <c r="BJ30" s="3">
        <v>5</v>
      </c>
      <c r="BK30" s="3">
        <v>2</v>
      </c>
      <c r="BL30" s="3">
        <v>2</v>
      </c>
      <c r="BM30" s="3">
        <v>5</v>
      </c>
      <c r="BN30" s="3">
        <v>5</v>
      </c>
      <c r="BO30" s="3">
        <v>4</v>
      </c>
      <c r="BP30" s="3">
        <v>5</v>
      </c>
      <c r="BQ30" s="3">
        <v>3</v>
      </c>
      <c r="BR30" s="3">
        <v>5</v>
      </c>
      <c r="BS30" s="3">
        <v>4</v>
      </c>
      <c r="BT30" s="3">
        <v>5</v>
      </c>
      <c r="BU30" s="3">
        <v>4</v>
      </c>
      <c r="BV30" s="3">
        <v>5</v>
      </c>
      <c r="BW30" s="3">
        <v>5</v>
      </c>
      <c r="BX30" s="3">
        <v>2</v>
      </c>
      <c r="BY30" s="3">
        <v>5</v>
      </c>
      <c r="BZ30" s="3">
        <v>5</v>
      </c>
      <c r="CA30" s="3">
        <v>5</v>
      </c>
      <c r="CB30" s="3">
        <v>5</v>
      </c>
      <c r="CC30" s="3">
        <v>5</v>
      </c>
      <c r="CD30" s="3">
        <v>5</v>
      </c>
      <c r="CE30" s="3" t="s">
        <v>207</v>
      </c>
      <c r="CF30" s="3">
        <v>19</v>
      </c>
      <c r="CG30" s="3">
        <v>28</v>
      </c>
      <c r="CH30" s="3">
        <v>82</v>
      </c>
      <c r="CI30" s="6">
        <f>COUNTIF(AG30:BB30, "Dispone")/22</f>
        <v>0.86363636363636365</v>
      </c>
      <c r="CJ30" s="7">
        <f>AVERAGE(BC30:BL30)</f>
        <v>2.8</v>
      </c>
      <c r="CK30" s="15">
        <f>AVERAGE(BM30:CD30)</f>
        <v>4.5555555555555554</v>
      </c>
      <c r="CL30" s="9" t="str">
        <f>IF(AND(CI30&gt;50%, CJ30&gt;2.5, CK30&gt;2.5), "Compromiso", "")</f>
        <v>Compromiso</v>
      </c>
      <c r="CM30" s="9" t="str">
        <f>IF(AND(CI30&gt;75%, CJ30&gt;4, CK30&gt;4), "Liderazgo", "")</f>
        <v/>
      </c>
      <c r="CN30" s="9" t="str">
        <f>IF(AND(CI30&gt;90%, CJ30&gt;4.5, CK30&gt;4.5), "Transformación", "")</f>
        <v/>
      </c>
      <c r="CO30" s="9" t="s">
        <v>95</v>
      </c>
      <c r="CP30" s="3" t="s">
        <v>132</v>
      </c>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row>
    <row r="31" spans="1:155" ht="17.25" customHeight="1" x14ac:dyDescent="0.25">
      <c r="A31" s="16">
        <v>45986.571527777778</v>
      </c>
      <c r="B31" s="16">
        <v>45988.697222222225</v>
      </c>
      <c r="C31" s="3" t="s">
        <v>96</v>
      </c>
      <c r="D31" s="3" t="s">
        <v>819</v>
      </c>
      <c r="E31" s="3">
        <v>183674</v>
      </c>
      <c r="F31" s="3" t="b">
        <v>1</v>
      </c>
      <c r="G31" s="16">
        <v>45988.697222222225</v>
      </c>
      <c r="H31" s="3" t="s">
        <v>820</v>
      </c>
      <c r="I31" s="3">
        <v>-32.954000000000001</v>
      </c>
      <c r="J31" s="3">
        <v>-60.663400000000003</v>
      </c>
      <c r="K31" s="3" t="s">
        <v>98</v>
      </c>
      <c r="L31" s="3" t="s">
        <v>821</v>
      </c>
      <c r="M31" s="3" t="s">
        <v>822</v>
      </c>
      <c r="N31" s="3" t="s">
        <v>823</v>
      </c>
      <c r="O31" s="3" t="s">
        <v>904</v>
      </c>
      <c r="P31" s="3">
        <f>56953634798</f>
        <v>56953634798</v>
      </c>
      <c r="Q31" s="3" t="s">
        <v>124</v>
      </c>
      <c r="R31" s="3">
        <v>1990</v>
      </c>
      <c r="S31" s="3">
        <v>480</v>
      </c>
      <c r="T31" s="3">
        <v>7565</v>
      </c>
      <c r="U31" s="3">
        <v>1055</v>
      </c>
      <c r="V31" s="3">
        <v>284</v>
      </c>
      <c r="W31" s="3" t="s">
        <v>91</v>
      </c>
      <c r="X31" s="3">
        <v>4</v>
      </c>
      <c r="Y31" s="3" t="s">
        <v>92</v>
      </c>
      <c r="Z31" s="3">
        <v>4</v>
      </c>
      <c r="AA31" s="3">
        <v>1286877</v>
      </c>
      <c r="AB31" s="3">
        <v>422</v>
      </c>
      <c r="AC31" s="3">
        <v>3</v>
      </c>
      <c r="AD31" s="3">
        <v>41983</v>
      </c>
      <c r="AE31" s="3">
        <v>16</v>
      </c>
      <c r="AF31" s="3">
        <v>30000</v>
      </c>
      <c r="AG31" s="3" t="s">
        <v>93</v>
      </c>
      <c r="AH31" s="3" t="s">
        <v>93</v>
      </c>
      <c r="AI31" s="3" t="s">
        <v>93</v>
      </c>
      <c r="AJ31" s="3" t="s">
        <v>93</v>
      </c>
      <c r="AK31" s="3" t="s">
        <v>93</v>
      </c>
      <c r="AL31" s="3" t="s">
        <v>93</v>
      </c>
      <c r="AM31" s="3" t="s">
        <v>93</v>
      </c>
      <c r="AN31" s="3" t="s">
        <v>94</v>
      </c>
      <c r="AO31" s="3" t="s">
        <v>93</v>
      </c>
      <c r="AP31" s="3" t="s">
        <v>93</v>
      </c>
      <c r="AQ31" s="3" t="s">
        <v>93</v>
      </c>
      <c r="AR31" s="3" t="s">
        <v>93</v>
      </c>
      <c r="AS31" s="3" t="s">
        <v>93</v>
      </c>
      <c r="AT31" s="3" t="s">
        <v>93</v>
      </c>
      <c r="AU31" s="3" t="s">
        <v>93</v>
      </c>
      <c r="AV31" s="3" t="s">
        <v>93</v>
      </c>
      <c r="AW31" s="3" t="s">
        <v>93</v>
      </c>
      <c r="AX31" s="3" t="s">
        <v>94</v>
      </c>
      <c r="AY31" s="3" t="s">
        <v>93</v>
      </c>
      <c r="AZ31" s="3" t="s">
        <v>93</v>
      </c>
      <c r="BA31" s="3" t="s">
        <v>93</v>
      </c>
      <c r="BB31" s="3" t="s">
        <v>93</v>
      </c>
      <c r="BC31" s="3">
        <v>5</v>
      </c>
      <c r="BD31" s="3">
        <v>5</v>
      </c>
      <c r="BE31" s="3">
        <v>4</v>
      </c>
      <c r="BF31" s="3">
        <v>4</v>
      </c>
      <c r="BG31" s="3">
        <v>5</v>
      </c>
      <c r="BH31" s="3">
        <v>5</v>
      </c>
      <c r="BI31" s="3">
        <v>5</v>
      </c>
      <c r="BJ31" s="3">
        <v>5</v>
      </c>
      <c r="BK31" s="3">
        <v>4</v>
      </c>
      <c r="BL31" s="3">
        <v>4</v>
      </c>
      <c r="BM31" s="3">
        <v>5</v>
      </c>
      <c r="BN31" s="3">
        <v>5</v>
      </c>
      <c r="BO31" s="3">
        <v>5</v>
      </c>
      <c r="BP31" s="3">
        <v>5</v>
      </c>
      <c r="BQ31" s="3">
        <v>5</v>
      </c>
      <c r="BR31" s="3">
        <v>5</v>
      </c>
      <c r="BS31" s="3">
        <v>5</v>
      </c>
      <c r="BT31" s="3">
        <v>5</v>
      </c>
      <c r="BU31" s="3">
        <v>4</v>
      </c>
      <c r="BV31" s="3">
        <v>4</v>
      </c>
      <c r="BW31" s="3">
        <v>4</v>
      </c>
      <c r="BX31" s="3">
        <v>5</v>
      </c>
      <c r="BY31" s="3">
        <v>5</v>
      </c>
      <c r="BZ31" s="3">
        <v>5</v>
      </c>
      <c r="CA31" s="3">
        <v>5</v>
      </c>
      <c r="CB31" s="3">
        <v>5</v>
      </c>
      <c r="CC31" s="3">
        <v>4</v>
      </c>
      <c r="CD31" s="3">
        <v>5</v>
      </c>
      <c r="CF31" s="3">
        <v>20</v>
      </c>
      <c r="CG31" s="3">
        <v>46</v>
      </c>
      <c r="CH31" s="3">
        <v>86</v>
      </c>
      <c r="CI31" s="6">
        <f>COUNTIF(AG31:BB31, "Dispone")/22</f>
        <v>0.90909090909090906</v>
      </c>
      <c r="CJ31" s="7">
        <f>AVERAGE(BC31:BL31)</f>
        <v>4.5999999999999996</v>
      </c>
      <c r="CK31" s="15">
        <f>AVERAGE(BM31:CD31)</f>
        <v>4.7777777777777777</v>
      </c>
      <c r="CL31" s="9" t="str">
        <f>IF(AND(CI31&gt;50%, CJ31&gt;2.5, CK31&gt;2.5), "Compromiso", "")</f>
        <v>Compromiso</v>
      </c>
      <c r="CM31" s="9" t="str">
        <f>IF(AND(CI31&gt;75%, CJ31&gt;4, CK31&gt;4), "Liderazgo", "")</f>
        <v>Liderazgo</v>
      </c>
      <c r="CN31" s="9" t="str">
        <f>IF(AND(CI31&gt;90%, CJ31&gt;4.5, CK31&gt;4.5), "Transformación", "")</f>
        <v>Transformación</v>
      </c>
      <c r="CO31" s="9" t="s">
        <v>132</v>
      </c>
      <c r="CP31" s="3" t="s">
        <v>95</v>
      </c>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row>
    <row r="32" spans="1:155" ht="17.25" customHeight="1" x14ac:dyDescent="0.25">
      <c r="A32" s="12">
        <v>45889.578113425923</v>
      </c>
      <c r="B32" s="12">
        <v>45891.61791666667</v>
      </c>
      <c r="C32" s="9" t="s">
        <v>96</v>
      </c>
      <c r="D32" s="9" t="s">
        <v>489</v>
      </c>
      <c r="E32" s="13">
        <v>176239</v>
      </c>
      <c r="F32" s="9" t="s">
        <v>105</v>
      </c>
      <c r="G32" s="12">
        <v>45891.617925300925</v>
      </c>
      <c r="H32" s="9" t="s">
        <v>490</v>
      </c>
      <c r="I32" s="13">
        <v>-21.250299999999999</v>
      </c>
      <c r="J32" s="13">
        <v>-44.244799999999998</v>
      </c>
      <c r="K32" s="9" t="s">
        <v>98</v>
      </c>
      <c r="L32" s="9" t="s">
        <v>491</v>
      </c>
      <c r="M32" s="3" t="s">
        <v>881</v>
      </c>
      <c r="N32" s="9" t="s">
        <v>492</v>
      </c>
      <c r="O32" s="3" t="s">
        <v>920</v>
      </c>
      <c r="P32" s="9" t="s">
        <v>493</v>
      </c>
      <c r="Q32" s="9" t="s">
        <v>102</v>
      </c>
      <c r="R32" s="3">
        <v>1972</v>
      </c>
      <c r="S32" s="3">
        <v>1919</v>
      </c>
      <c r="T32" s="3">
        <v>19942</v>
      </c>
      <c r="U32" s="3">
        <v>0</v>
      </c>
      <c r="V32" s="3">
        <v>183</v>
      </c>
      <c r="W32" s="9" t="s">
        <v>91</v>
      </c>
      <c r="X32" s="3">
        <v>1</v>
      </c>
      <c r="Y32" s="9" t="s">
        <v>92</v>
      </c>
      <c r="Z32" s="3">
        <v>49</v>
      </c>
      <c r="AA32" s="3">
        <v>5103888</v>
      </c>
      <c r="AB32" s="3">
        <v>1464</v>
      </c>
      <c r="AC32" s="3">
        <v>43</v>
      </c>
      <c r="AD32" s="3">
        <v>43249</v>
      </c>
      <c r="AE32" s="3">
        <v>3</v>
      </c>
      <c r="AF32" s="3">
        <v>317143</v>
      </c>
      <c r="AG32" s="9" t="s">
        <v>93</v>
      </c>
      <c r="AH32" s="9" t="s">
        <v>93</v>
      </c>
      <c r="AI32" s="9" t="s">
        <v>93</v>
      </c>
      <c r="AJ32" s="9" t="s">
        <v>93</v>
      </c>
      <c r="AK32" s="9" t="s">
        <v>93</v>
      </c>
      <c r="AL32" s="9" t="s">
        <v>93</v>
      </c>
      <c r="AM32" s="9" t="s">
        <v>93</v>
      </c>
      <c r="AN32" s="9" t="s">
        <v>93</v>
      </c>
      <c r="AO32" s="9" t="s">
        <v>93</v>
      </c>
      <c r="AP32" s="9" t="s">
        <v>93</v>
      </c>
      <c r="AQ32" s="9" t="s">
        <v>93</v>
      </c>
      <c r="AR32" s="9" t="s">
        <v>93</v>
      </c>
      <c r="AS32" s="9" t="s">
        <v>93</v>
      </c>
      <c r="AT32" s="9" t="s">
        <v>93</v>
      </c>
      <c r="AU32" s="9" t="s">
        <v>93</v>
      </c>
      <c r="AV32" s="9" t="s">
        <v>93</v>
      </c>
      <c r="AW32" s="9" t="s">
        <v>93</v>
      </c>
      <c r="AX32" s="9" t="s">
        <v>93</v>
      </c>
      <c r="AY32" s="9" t="s">
        <v>93</v>
      </c>
      <c r="AZ32" s="9" t="s">
        <v>94</v>
      </c>
      <c r="BA32" s="9" t="s">
        <v>93</v>
      </c>
      <c r="BB32" s="9" t="s">
        <v>93</v>
      </c>
      <c r="BC32" s="11">
        <v>5</v>
      </c>
      <c r="BD32" s="11">
        <v>5</v>
      </c>
      <c r="BE32" s="11">
        <v>3</v>
      </c>
      <c r="BF32" s="11">
        <v>3</v>
      </c>
      <c r="BG32" s="11">
        <v>5</v>
      </c>
      <c r="BH32" s="11">
        <v>5</v>
      </c>
      <c r="BI32" s="11">
        <v>4</v>
      </c>
      <c r="BJ32" s="11">
        <v>5</v>
      </c>
      <c r="BK32" s="11">
        <v>4</v>
      </c>
      <c r="BL32" s="11">
        <v>3</v>
      </c>
      <c r="BM32" s="11">
        <v>5</v>
      </c>
      <c r="BN32" s="11">
        <v>5</v>
      </c>
      <c r="BO32" s="11">
        <v>5</v>
      </c>
      <c r="BP32" s="11">
        <v>3</v>
      </c>
      <c r="BQ32" s="11">
        <v>5</v>
      </c>
      <c r="BR32" s="11">
        <v>5</v>
      </c>
      <c r="BS32" s="11">
        <v>4</v>
      </c>
      <c r="BT32" s="11">
        <v>5</v>
      </c>
      <c r="BU32" s="11">
        <v>3</v>
      </c>
      <c r="BV32" s="11">
        <v>4</v>
      </c>
      <c r="BW32" s="11">
        <v>5</v>
      </c>
      <c r="BX32" s="11">
        <v>4</v>
      </c>
      <c r="BY32" s="11">
        <v>5</v>
      </c>
      <c r="BZ32" s="11">
        <v>2</v>
      </c>
      <c r="CA32" s="11">
        <v>5</v>
      </c>
      <c r="CB32" s="11">
        <v>5</v>
      </c>
      <c r="CC32" s="11">
        <v>5</v>
      </c>
      <c r="CD32" s="11">
        <v>5</v>
      </c>
      <c r="CE32" s="9" t="s">
        <v>314</v>
      </c>
      <c r="CF32" s="3">
        <v>21</v>
      </c>
      <c r="CG32" s="3">
        <v>42</v>
      </c>
      <c r="CH32" s="3">
        <v>80</v>
      </c>
      <c r="CI32" s="6">
        <f>COUNTIF(AG32:BB32, "Dispone")/22</f>
        <v>0.95454545454545459</v>
      </c>
      <c r="CJ32" s="7">
        <f>AVERAGE(BC32:BL32)</f>
        <v>4.2</v>
      </c>
      <c r="CK32" s="15">
        <f>AVERAGE(BM32:CD32)</f>
        <v>4.4444444444444446</v>
      </c>
      <c r="CL32" s="9" t="str">
        <f>IF(AND(CI32&gt;50%, CJ32&gt;2.5, CK32&gt;2.5), "Compromiso", "")</f>
        <v>Compromiso</v>
      </c>
      <c r="CM32" s="9" t="str">
        <f>IF(AND(CI32&gt;75%, CJ32&gt;4, CK32&gt;4), "Liderazgo", "")</f>
        <v>Liderazgo</v>
      </c>
      <c r="CN32" s="9" t="str">
        <f>IF(AND(CI32&gt;90%, CJ32&gt;4.5, CK32&gt;4.5), "Transformación", "")</f>
        <v/>
      </c>
      <c r="CO32" s="9" t="s">
        <v>103</v>
      </c>
      <c r="CP32" s="3" t="s">
        <v>103</v>
      </c>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row>
    <row r="33" spans="1:155" ht="17.25" customHeight="1" x14ac:dyDescent="0.25">
      <c r="A33" s="16">
        <v>45986.723611111112</v>
      </c>
      <c r="B33" s="16">
        <v>45988.758333333331</v>
      </c>
      <c r="C33" s="3" t="s">
        <v>96</v>
      </c>
      <c r="D33" s="3" t="s">
        <v>428</v>
      </c>
      <c r="E33" s="3">
        <v>175761</v>
      </c>
      <c r="F33" s="3" t="b">
        <v>1</v>
      </c>
      <c r="G33" s="16">
        <v>45988.758333333331</v>
      </c>
      <c r="H33" s="3" t="s">
        <v>429</v>
      </c>
      <c r="I33" s="3">
        <v>-23.1875</v>
      </c>
      <c r="J33" s="3">
        <v>-49.954300000000003</v>
      </c>
      <c r="K33" s="9" t="s">
        <v>98</v>
      </c>
      <c r="L33" s="3" t="s">
        <v>430</v>
      </c>
      <c r="M33" s="3" t="s">
        <v>107</v>
      </c>
      <c r="O33" s="3" t="s">
        <v>907</v>
      </c>
      <c r="Q33" s="3" t="s">
        <v>130</v>
      </c>
      <c r="AG33" s="3" t="s">
        <v>94</v>
      </c>
      <c r="AH33" s="3" t="s">
        <v>93</v>
      </c>
      <c r="AJ33" s="3" t="s">
        <v>94</v>
      </c>
      <c r="AK33" s="3" t="s">
        <v>93</v>
      </c>
      <c r="AL33" s="3" t="s">
        <v>93</v>
      </c>
      <c r="AM33" s="3" t="s">
        <v>94</v>
      </c>
      <c r="AN33" s="3" t="s">
        <v>94</v>
      </c>
      <c r="AO33" s="3" t="s">
        <v>93</v>
      </c>
      <c r="AP33" s="3" t="s">
        <v>94</v>
      </c>
      <c r="AQ33" s="3" t="s">
        <v>93</v>
      </c>
      <c r="AR33" s="3" t="s">
        <v>93</v>
      </c>
      <c r="AS33" s="3" t="s">
        <v>93</v>
      </c>
      <c r="AT33" s="3" t="s">
        <v>93</v>
      </c>
      <c r="AU33" s="3" t="s">
        <v>93</v>
      </c>
      <c r="AV33" s="3" t="s">
        <v>93</v>
      </c>
      <c r="AW33" s="3" t="s">
        <v>93</v>
      </c>
      <c r="AX33" s="3" t="s">
        <v>94</v>
      </c>
      <c r="AY33" s="3" t="s">
        <v>93</v>
      </c>
      <c r="AZ33" s="3" t="s">
        <v>93</v>
      </c>
      <c r="BA33" s="3" t="s">
        <v>93</v>
      </c>
      <c r="BB33" s="3" t="s">
        <v>93</v>
      </c>
      <c r="BC33" s="3">
        <v>4</v>
      </c>
      <c r="BD33" s="3">
        <v>4</v>
      </c>
      <c r="BE33" s="3">
        <v>5</v>
      </c>
      <c r="BF33" s="3">
        <v>4</v>
      </c>
      <c r="BG33" s="3">
        <v>2</v>
      </c>
      <c r="BH33" s="3">
        <v>4</v>
      </c>
      <c r="BI33" s="3">
        <v>3</v>
      </c>
      <c r="BJ33" s="3">
        <v>2</v>
      </c>
      <c r="BK33" s="3">
        <v>4</v>
      </c>
      <c r="BL33" s="3">
        <v>2</v>
      </c>
      <c r="BM33" s="3">
        <v>5</v>
      </c>
      <c r="BN33" s="3">
        <v>4</v>
      </c>
      <c r="BO33" s="3">
        <v>4</v>
      </c>
      <c r="BP33" s="3">
        <v>2</v>
      </c>
      <c r="BQ33" s="3">
        <v>2</v>
      </c>
      <c r="BR33" s="3">
        <v>4</v>
      </c>
      <c r="BS33" s="3">
        <v>3</v>
      </c>
      <c r="BT33" s="3">
        <v>2</v>
      </c>
      <c r="BU33" s="3">
        <v>4</v>
      </c>
      <c r="BV33" s="3">
        <v>3</v>
      </c>
      <c r="BW33" s="3">
        <v>3</v>
      </c>
      <c r="BX33" s="3">
        <v>2</v>
      </c>
      <c r="BY33" s="3">
        <v>3</v>
      </c>
      <c r="BZ33" s="3">
        <v>5</v>
      </c>
      <c r="CA33" s="3">
        <v>5</v>
      </c>
      <c r="CB33" s="3">
        <v>5</v>
      </c>
      <c r="CC33" s="3">
        <v>2</v>
      </c>
      <c r="CD33" s="3">
        <v>5</v>
      </c>
      <c r="CF33" s="3">
        <f>COUNTIF(AG33:BB33, "Dispone")</f>
        <v>15</v>
      </c>
      <c r="CG33" s="3">
        <v>34</v>
      </c>
      <c r="CH33" s="3">
        <f>SUM(BM33:CD33)</f>
        <v>63</v>
      </c>
      <c r="CI33" s="6">
        <f>COUNTIF(AG33:BB33, "Dispone")/22</f>
        <v>0.68181818181818177</v>
      </c>
      <c r="CJ33" s="7">
        <f>AVERAGE(BC33:BL33)</f>
        <v>3.4</v>
      </c>
      <c r="CK33" s="8">
        <f>AVERAGE(BM33:CD33)</f>
        <v>3.5</v>
      </c>
      <c r="CL33" s="9" t="str">
        <f>IF(AND(CI33&gt;50%, CJ33&gt;2.5, CK33&gt;2.5), "Compromiso", "")</f>
        <v>Compromiso</v>
      </c>
      <c r="CM33" s="9" t="str">
        <f>IF(AND(CI33&gt;75%, CJ33&gt;4, CK33&gt;4), "Liderazgo", "")</f>
        <v/>
      </c>
      <c r="CN33" s="9" t="str">
        <f>IF(AND(CI33&gt;90%, CJ33&gt;4.5, CK33&gt;4.5), "Transformación", "")</f>
        <v/>
      </c>
      <c r="CO33" s="9" t="s">
        <v>95</v>
      </c>
      <c r="CP33" s="3" t="s">
        <v>103</v>
      </c>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row>
    <row r="34" spans="1:155" ht="17.25" customHeight="1" x14ac:dyDescent="0.25">
      <c r="A34" s="12">
        <v>45903.544259259259</v>
      </c>
      <c r="B34" s="12">
        <v>45905.543483796297</v>
      </c>
      <c r="C34" s="9" t="s">
        <v>96</v>
      </c>
      <c r="D34" s="9" t="s">
        <v>755</v>
      </c>
      <c r="E34" s="13">
        <v>172733</v>
      </c>
      <c r="F34" s="9" t="s">
        <v>105</v>
      </c>
      <c r="G34" s="12">
        <v>45905.543499247688</v>
      </c>
      <c r="H34" s="9" t="s">
        <v>756</v>
      </c>
      <c r="I34" s="13">
        <v>41.389099999999999</v>
      </c>
      <c r="J34" s="13">
        <v>2.1606000000000001</v>
      </c>
      <c r="K34" s="9" t="s">
        <v>98</v>
      </c>
      <c r="L34" s="9" t="s">
        <v>757</v>
      </c>
      <c r="M34" s="3" t="s">
        <v>758</v>
      </c>
      <c r="N34" s="9" t="s">
        <v>759</v>
      </c>
      <c r="O34" s="3" t="s">
        <v>921</v>
      </c>
      <c r="P34" s="9" t="s">
        <v>760</v>
      </c>
      <c r="Q34" s="9" t="s">
        <v>130</v>
      </c>
      <c r="R34" s="3">
        <v>1474</v>
      </c>
      <c r="S34" s="3">
        <v>6335</v>
      </c>
      <c r="T34" s="3">
        <v>28023</v>
      </c>
      <c r="U34" s="3">
        <v>55</v>
      </c>
      <c r="V34" s="3">
        <v>1646</v>
      </c>
      <c r="W34" s="9" t="s">
        <v>118</v>
      </c>
      <c r="X34" s="3">
        <v>3.8</v>
      </c>
      <c r="Y34" s="9" t="s">
        <v>92</v>
      </c>
      <c r="Z34" s="3">
        <v>150</v>
      </c>
      <c r="AA34" s="3">
        <v>38745029</v>
      </c>
      <c r="AB34" s="3">
        <v>10315</v>
      </c>
      <c r="AC34" s="3">
        <v>80</v>
      </c>
      <c r="AD34" s="3">
        <v>151</v>
      </c>
      <c r="AE34" s="3">
        <v>32</v>
      </c>
      <c r="AF34" s="3">
        <v>205675</v>
      </c>
      <c r="AG34" s="9" t="s">
        <v>93</v>
      </c>
      <c r="AH34" s="9" t="s">
        <v>93</v>
      </c>
      <c r="AI34" s="9" t="s">
        <v>94</v>
      </c>
      <c r="AJ34" s="9" t="s">
        <v>93</v>
      </c>
      <c r="AK34" s="9" t="s">
        <v>94</v>
      </c>
      <c r="AL34" s="9" t="s">
        <v>93</v>
      </c>
      <c r="AM34" s="9" t="s">
        <v>93</v>
      </c>
      <c r="AN34" s="9" t="s">
        <v>93</v>
      </c>
      <c r="AO34" s="9" t="s">
        <v>93</v>
      </c>
      <c r="AP34" s="9" t="s">
        <v>93</v>
      </c>
      <c r="AQ34" s="9" t="s">
        <v>94</v>
      </c>
      <c r="AR34" s="9" t="s">
        <v>93</v>
      </c>
      <c r="AS34" s="9" t="s">
        <v>93</v>
      </c>
      <c r="AT34" s="9" t="s">
        <v>93</v>
      </c>
      <c r="AU34" s="9" t="s">
        <v>93</v>
      </c>
      <c r="AV34" s="9" t="s">
        <v>93</v>
      </c>
      <c r="AW34" s="9" t="s">
        <v>93</v>
      </c>
      <c r="AX34" s="9" t="s">
        <v>93</v>
      </c>
      <c r="AY34" s="9" t="s">
        <v>93</v>
      </c>
      <c r="AZ34" s="9" t="s">
        <v>93</v>
      </c>
      <c r="BA34" s="9" t="s">
        <v>93</v>
      </c>
      <c r="BB34" s="9" t="s">
        <v>93</v>
      </c>
      <c r="BC34" s="11">
        <v>4</v>
      </c>
      <c r="BD34" s="11">
        <v>3</v>
      </c>
      <c r="BE34" s="11">
        <v>2</v>
      </c>
      <c r="BF34" s="11">
        <v>1</v>
      </c>
      <c r="BG34" s="11">
        <v>3</v>
      </c>
      <c r="BH34" s="11">
        <v>2</v>
      </c>
      <c r="BI34" s="11">
        <v>2</v>
      </c>
      <c r="BJ34" s="11">
        <v>2</v>
      </c>
      <c r="BK34" s="11">
        <v>2</v>
      </c>
      <c r="BL34" s="11">
        <v>4</v>
      </c>
      <c r="BM34" s="11">
        <v>4</v>
      </c>
      <c r="BN34" s="11">
        <v>4</v>
      </c>
      <c r="BO34" s="11">
        <v>2</v>
      </c>
      <c r="BP34" s="11">
        <v>2</v>
      </c>
      <c r="BQ34" s="11">
        <v>2</v>
      </c>
      <c r="BR34" s="11">
        <v>3</v>
      </c>
      <c r="BS34" s="11">
        <v>2</v>
      </c>
      <c r="BT34" s="11">
        <v>3</v>
      </c>
      <c r="BU34" s="11">
        <v>2</v>
      </c>
      <c r="BV34" s="11">
        <v>3</v>
      </c>
      <c r="BW34" s="11">
        <v>3</v>
      </c>
      <c r="BX34" s="11">
        <v>3</v>
      </c>
      <c r="BY34" s="11">
        <v>4</v>
      </c>
      <c r="BZ34" s="11">
        <v>5</v>
      </c>
      <c r="CA34" s="11">
        <v>5</v>
      </c>
      <c r="CB34" s="11">
        <v>5</v>
      </c>
      <c r="CC34" s="11">
        <v>4</v>
      </c>
      <c r="CD34" s="11">
        <v>5</v>
      </c>
      <c r="CE34" s="9" t="s">
        <v>761</v>
      </c>
      <c r="CF34" s="3">
        <v>19</v>
      </c>
      <c r="CG34" s="3">
        <v>25</v>
      </c>
      <c r="CH34" s="3">
        <v>61</v>
      </c>
      <c r="CI34" s="6">
        <f>COUNTIF(AG34:BB34, "Dispone")/22</f>
        <v>0.86363636363636365</v>
      </c>
      <c r="CJ34" s="7">
        <f>AVERAGE(BC34:BL34)</f>
        <v>2.5</v>
      </c>
      <c r="CK34" s="15">
        <f>AVERAGE(BM34:CD34)</f>
        <v>3.3888888888888888</v>
      </c>
      <c r="CL34" s="9" t="str">
        <f>IF(AND(CI34&gt;50%, CJ34&gt;2.5, CK34&gt;2.5), "Compromiso", "")</f>
        <v/>
      </c>
      <c r="CM34" s="9" t="str">
        <f>IF(AND(CI34&gt;75%, CJ34&gt;4, CK34&gt;4), "Liderazgo", "")</f>
        <v/>
      </c>
      <c r="CN34" s="9" t="str">
        <f>IF(AND(CI34&gt;90%, CJ34&gt;4.5, CK34&gt;4.5), "Transformación", "")</f>
        <v/>
      </c>
      <c r="CO34" s="9" t="s">
        <v>581</v>
      </c>
      <c r="CP34" s="3" t="s">
        <v>103</v>
      </c>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row>
    <row r="35" spans="1:155" ht="17.25" customHeight="1" x14ac:dyDescent="0.25">
      <c r="A35" s="16">
        <v>45958.913194444445</v>
      </c>
      <c r="B35" s="16">
        <v>45960.844444444447</v>
      </c>
      <c r="C35" s="3" t="s">
        <v>96</v>
      </c>
      <c r="D35" s="3" t="s">
        <v>575</v>
      </c>
      <c r="E35" s="3">
        <v>166852</v>
      </c>
      <c r="F35" s="3" t="b">
        <v>1</v>
      </c>
      <c r="G35" s="16">
        <v>45960.844444444447</v>
      </c>
      <c r="H35" s="3" t="s">
        <v>576</v>
      </c>
      <c r="I35" s="3">
        <v>17.029299999999999</v>
      </c>
      <c r="J35" s="3">
        <v>-96.738500000000002</v>
      </c>
      <c r="K35" s="3" t="s">
        <v>113</v>
      </c>
      <c r="L35" s="3" t="s">
        <v>577</v>
      </c>
      <c r="M35" s="3" t="s">
        <v>578</v>
      </c>
      <c r="N35" s="3" t="s">
        <v>579</v>
      </c>
      <c r="O35" s="3" t="s">
        <v>922</v>
      </c>
      <c r="P35" s="3">
        <v>87996337131</v>
      </c>
      <c r="Q35" s="3" t="s">
        <v>90</v>
      </c>
      <c r="R35" s="3">
        <v>2018</v>
      </c>
      <c r="S35" s="3">
        <v>458</v>
      </c>
      <c r="T35" s="3">
        <v>2251</v>
      </c>
      <c r="U35" s="3">
        <v>0</v>
      </c>
      <c r="V35" s="3">
        <v>0</v>
      </c>
      <c r="W35" s="3" t="s">
        <v>118</v>
      </c>
      <c r="X35" s="3">
        <v>0</v>
      </c>
      <c r="Y35" s="3" t="s">
        <v>92</v>
      </c>
      <c r="Z35" s="3">
        <v>11</v>
      </c>
      <c r="AA35" s="3">
        <v>876922</v>
      </c>
      <c r="AB35" s="3">
        <v>0</v>
      </c>
      <c r="AC35" s="3">
        <v>0</v>
      </c>
      <c r="AD35" s="3">
        <v>146</v>
      </c>
      <c r="AE35" s="3">
        <v>1</v>
      </c>
      <c r="AF35" s="3">
        <v>0</v>
      </c>
      <c r="AG35" s="3" t="s">
        <v>94</v>
      </c>
      <c r="AH35" s="3" t="s">
        <v>93</v>
      </c>
      <c r="AI35" s="3" t="s">
        <v>94</v>
      </c>
      <c r="AJ35" s="3" t="s">
        <v>93</v>
      </c>
      <c r="AK35" s="3" t="s">
        <v>93</v>
      </c>
      <c r="AL35" s="3" t="s">
        <v>93</v>
      </c>
      <c r="AM35" s="3" t="s">
        <v>93</v>
      </c>
      <c r="AN35" s="3" t="s">
        <v>94</v>
      </c>
      <c r="AO35" s="3" t="s">
        <v>93</v>
      </c>
      <c r="AP35" s="3" t="s">
        <v>94</v>
      </c>
      <c r="AQ35" s="3" t="s">
        <v>94</v>
      </c>
      <c r="AR35" s="3" t="s">
        <v>93</v>
      </c>
      <c r="AS35" s="3" t="s">
        <v>93</v>
      </c>
      <c r="AT35" s="3" t="s">
        <v>93</v>
      </c>
      <c r="AU35" s="3" t="s">
        <v>93</v>
      </c>
      <c r="AV35" s="3" t="s">
        <v>94</v>
      </c>
      <c r="AW35" s="3" t="s">
        <v>94</v>
      </c>
      <c r="AX35" s="3" t="s">
        <v>94</v>
      </c>
      <c r="AY35" s="3" t="s">
        <v>94</v>
      </c>
      <c r="AZ35" s="3" t="s">
        <v>93</v>
      </c>
      <c r="BA35" s="3" t="s">
        <v>93</v>
      </c>
      <c r="BB35" s="3" t="s">
        <v>93</v>
      </c>
      <c r="BC35" s="3">
        <v>1</v>
      </c>
      <c r="BD35" s="3">
        <v>2</v>
      </c>
      <c r="BE35" s="3">
        <v>1</v>
      </c>
      <c r="BF35" s="3">
        <v>2</v>
      </c>
      <c r="BG35" s="3">
        <v>1</v>
      </c>
      <c r="BH35" s="3">
        <v>3</v>
      </c>
      <c r="BI35" s="3">
        <v>1</v>
      </c>
      <c r="BJ35" s="3">
        <v>2</v>
      </c>
      <c r="BK35" s="3">
        <v>1</v>
      </c>
      <c r="BL35" s="3">
        <v>2</v>
      </c>
      <c r="BM35" s="3">
        <v>5</v>
      </c>
      <c r="BN35" s="3">
        <v>3</v>
      </c>
      <c r="BO35" s="3">
        <v>2</v>
      </c>
      <c r="BP35" s="3">
        <v>2</v>
      </c>
      <c r="BQ35" s="3">
        <v>5</v>
      </c>
      <c r="BR35" s="3">
        <v>2</v>
      </c>
      <c r="BS35" s="3">
        <v>2</v>
      </c>
      <c r="BT35" s="3">
        <v>2</v>
      </c>
      <c r="BU35" s="3">
        <v>5</v>
      </c>
      <c r="BV35" s="3">
        <v>1</v>
      </c>
      <c r="BW35" s="3">
        <v>2</v>
      </c>
      <c r="BX35" s="3">
        <v>1</v>
      </c>
      <c r="BY35" s="3">
        <v>5</v>
      </c>
      <c r="BZ35" s="3">
        <v>4</v>
      </c>
      <c r="CA35" s="3">
        <v>5</v>
      </c>
      <c r="CB35" s="3">
        <v>5</v>
      </c>
      <c r="CC35" s="3">
        <v>3</v>
      </c>
      <c r="CD35" s="3">
        <v>2</v>
      </c>
      <c r="CE35" s="3" t="s">
        <v>580</v>
      </c>
      <c r="CF35" s="3">
        <v>13</v>
      </c>
      <c r="CG35" s="3">
        <v>16</v>
      </c>
      <c r="CH35" s="3">
        <v>56</v>
      </c>
      <c r="CI35" s="6">
        <f>COUNTIF(AG35:BB35, "Dispone")/22</f>
        <v>0.59090909090909094</v>
      </c>
      <c r="CJ35" s="7">
        <f>AVERAGE(BC35:BL35)</f>
        <v>1.6</v>
      </c>
      <c r="CK35" s="8">
        <f>AVERAGE(BM35:CD35)</f>
        <v>3.1111111111111112</v>
      </c>
      <c r="CL35" s="9" t="str">
        <f>IF(AND(CI35&gt;50%, CJ35&gt;2.5, CK35&gt;2.5), "Compromiso", "")</f>
        <v/>
      </c>
      <c r="CM35" s="9" t="str">
        <f>IF(AND(CI35&gt;75%, CJ35&gt;4, CK35&gt;4), "Liderazgo", "")</f>
        <v/>
      </c>
      <c r="CN35" s="9" t="str">
        <f>IF(AND(CI35&gt;90%, CJ35&gt;4.5, CK35&gt;4.5), "Transformación", "")</f>
        <v/>
      </c>
      <c r="CO35" s="9" t="s">
        <v>581</v>
      </c>
      <c r="CP35" s="3" t="s">
        <v>95</v>
      </c>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row>
    <row r="36" spans="1:155" ht="17.25" customHeight="1" x14ac:dyDescent="0.25">
      <c r="A36" s="10">
        <v>45966.681250000001</v>
      </c>
      <c r="B36" s="10">
        <v>45967.893750000003</v>
      </c>
      <c r="C36" s="3" t="s">
        <v>96</v>
      </c>
      <c r="D36" s="3" t="s">
        <v>585</v>
      </c>
      <c r="E36" s="3">
        <v>104803</v>
      </c>
      <c r="F36" s="3" t="b">
        <v>1</v>
      </c>
      <c r="G36" s="10">
        <v>45967.893750000003</v>
      </c>
      <c r="H36" s="3" t="s">
        <v>586</v>
      </c>
      <c r="I36" s="3">
        <v>3.4384999999999999</v>
      </c>
      <c r="J36" s="3">
        <v>-76.522999999999996</v>
      </c>
      <c r="K36" s="3" t="s">
        <v>98</v>
      </c>
      <c r="L36" s="3" t="s">
        <v>587</v>
      </c>
      <c r="M36" s="3" t="s">
        <v>588</v>
      </c>
      <c r="N36" s="3" t="s">
        <v>589</v>
      </c>
      <c r="O36" s="3" t="s">
        <v>172</v>
      </c>
      <c r="P36" s="3">
        <f>5491154033621</f>
        <v>5491154033621</v>
      </c>
      <c r="Q36" s="3" t="s">
        <v>206</v>
      </c>
      <c r="R36" s="3">
        <v>1972</v>
      </c>
      <c r="S36" s="3">
        <v>3000</v>
      </c>
      <c r="T36" s="3">
        <v>5100</v>
      </c>
      <c r="U36" s="3">
        <v>1400</v>
      </c>
      <c r="V36" s="3">
        <v>0</v>
      </c>
      <c r="W36" s="3" t="s">
        <v>118</v>
      </c>
      <c r="X36" s="3">
        <v>1</v>
      </c>
      <c r="Y36" s="3" t="s">
        <v>92</v>
      </c>
      <c r="Z36" s="3">
        <v>15</v>
      </c>
      <c r="AA36" s="3">
        <v>0</v>
      </c>
      <c r="AB36" s="3">
        <v>0</v>
      </c>
      <c r="AC36" s="3">
        <v>0</v>
      </c>
      <c r="AD36" s="3">
        <v>0</v>
      </c>
      <c r="AE36" s="3">
        <v>0</v>
      </c>
      <c r="AF36" s="3">
        <v>0</v>
      </c>
      <c r="AG36" s="3" t="s">
        <v>94</v>
      </c>
      <c r="AH36" s="3" t="s">
        <v>93</v>
      </c>
      <c r="AI36" s="3" t="s">
        <v>94</v>
      </c>
      <c r="AJ36" s="3" t="s">
        <v>94</v>
      </c>
      <c r="AK36" s="3" t="s">
        <v>93</v>
      </c>
      <c r="AL36" s="3" t="s">
        <v>93</v>
      </c>
      <c r="AM36" s="3" t="s">
        <v>94</v>
      </c>
      <c r="AN36" s="3" t="s">
        <v>94</v>
      </c>
      <c r="AO36" s="3" t="s">
        <v>94</v>
      </c>
      <c r="AP36" s="3" t="s">
        <v>93</v>
      </c>
      <c r="AQ36" s="3" t="s">
        <v>94</v>
      </c>
      <c r="AR36" s="3" t="s">
        <v>93</v>
      </c>
      <c r="AS36" s="3" t="s">
        <v>93</v>
      </c>
      <c r="AT36" s="3" t="s">
        <v>94</v>
      </c>
      <c r="AU36" s="3" t="s">
        <v>94</v>
      </c>
      <c r="AV36" s="3" t="s">
        <v>94</v>
      </c>
      <c r="AW36" s="3" t="s">
        <v>94</v>
      </c>
      <c r="AX36" s="3" t="s">
        <v>94</v>
      </c>
      <c r="AY36" s="3" t="s">
        <v>94</v>
      </c>
      <c r="AZ36" s="3" t="s">
        <v>94</v>
      </c>
      <c r="BA36" s="3" t="s">
        <v>93</v>
      </c>
      <c r="BB36" s="3" t="s">
        <v>94</v>
      </c>
      <c r="BC36" s="3">
        <v>1</v>
      </c>
      <c r="BD36" s="3">
        <v>2</v>
      </c>
      <c r="BE36" s="3">
        <v>1</v>
      </c>
      <c r="BF36" s="3">
        <v>1</v>
      </c>
      <c r="BG36" s="3">
        <v>1</v>
      </c>
      <c r="BH36" s="3">
        <v>2</v>
      </c>
      <c r="BI36" s="3">
        <v>1</v>
      </c>
      <c r="BJ36" s="3">
        <v>1</v>
      </c>
      <c r="BK36" s="3">
        <v>1</v>
      </c>
      <c r="BL36" s="3">
        <v>1</v>
      </c>
      <c r="BM36" s="3">
        <v>5</v>
      </c>
      <c r="BN36" s="3">
        <v>3</v>
      </c>
      <c r="BO36" s="3">
        <v>4</v>
      </c>
      <c r="BP36" s="3">
        <v>2</v>
      </c>
      <c r="BQ36" s="3">
        <v>1</v>
      </c>
      <c r="BR36" s="3">
        <v>2</v>
      </c>
      <c r="BS36" s="3">
        <v>3</v>
      </c>
      <c r="BT36" s="3">
        <v>4</v>
      </c>
      <c r="BU36" s="3">
        <v>2</v>
      </c>
      <c r="BV36" s="3">
        <v>3</v>
      </c>
      <c r="BW36" s="3">
        <v>3</v>
      </c>
      <c r="BX36" s="3">
        <v>2</v>
      </c>
      <c r="BY36" s="3">
        <v>3</v>
      </c>
      <c r="BZ36" s="3">
        <v>3</v>
      </c>
      <c r="CA36" s="3">
        <v>3</v>
      </c>
      <c r="CB36" s="3">
        <v>4</v>
      </c>
      <c r="CC36" s="3">
        <v>4</v>
      </c>
      <c r="CD36" s="3">
        <v>5</v>
      </c>
      <c r="CF36" s="3">
        <v>7</v>
      </c>
      <c r="CG36" s="3">
        <v>12</v>
      </c>
      <c r="CH36" s="3">
        <v>56</v>
      </c>
      <c r="CI36" s="6">
        <f>COUNTIF(AG36:BB36, "Dispone")/22</f>
        <v>0.31818181818181818</v>
      </c>
      <c r="CJ36" s="7">
        <f>AVERAGE(BC36:BL36)</f>
        <v>1.2</v>
      </c>
      <c r="CK36" s="8">
        <f>AVERAGE(BM36:CD36)</f>
        <v>3.1111111111111112</v>
      </c>
      <c r="CL36" s="9" t="str">
        <f>IF(AND(CI36&gt;50%, CJ36&gt;2.5, CK36&gt;2.5), "Compromiso", "")</f>
        <v/>
      </c>
      <c r="CM36" s="9" t="str">
        <f>IF(AND(CI36&gt;75%, CJ36&gt;4, CK36&gt;4), "Liderazgo", "")</f>
        <v/>
      </c>
      <c r="CN36" s="9" t="str">
        <f>IF(AND(CI36&gt;90%, CJ36&gt;4.5, CK36&gt;4.5), "Transformación", "")</f>
        <v/>
      </c>
      <c r="CO36" s="9" t="s">
        <v>581</v>
      </c>
      <c r="CP36" s="3" t="s">
        <v>95</v>
      </c>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row>
    <row r="37" spans="1:155" ht="17.25" customHeight="1" x14ac:dyDescent="0.25">
      <c r="A37" s="16">
        <v>45956.808333333334</v>
      </c>
      <c r="B37" s="16">
        <v>45957.99722222222</v>
      </c>
      <c r="C37" s="3" t="s">
        <v>96</v>
      </c>
      <c r="D37" s="3" t="s">
        <v>242</v>
      </c>
      <c r="E37" s="3">
        <v>102745</v>
      </c>
      <c r="F37" s="3" t="b">
        <v>1</v>
      </c>
      <c r="G37" s="16">
        <v>45957.99722222222</v>
      </c>
      <c r="H37" s="3" t="s">
        <v>243</v>
      </c>
      <c r="I37" s="3">
        <v>-12.045999999999999</v>
      </c>
      <c r="J37" s="3">
        <v>-77.030500000000004</v>
      </c>
      <c r="K37" s="3" t="s">
        <v>98</v>
      </c>
      <c r="L37" s="3" t="s">
        <v>244</v>
      </c>
      <c r="M37" s="3" t="s">
        <v>245</v>
      </c>
      <c r="N37" s="3" t="s">
        <v>246</v>
      </c>
      <c r="O37" s="3" t="s">
        <v>172</v>
      </c>
      <c r="P37" s="3">
        <v>679522199</v>
      </c>
      <c r="Q37" s="3" t="s">
        <v>130</v>
      </c>
      <c r="R37" s="3">
        <v>1915</v>
      </c>
      <c r="S37" s="3">
        <v>4000</v>
      </c>
      <c r="T37" s="3">
        <v>32</v>
      </c>
      <c r="U37" s="3">
        <v>200</v>
      </c>
      <c r="V37" s="3">
        <v>200</v>
      </c>
      <c r="W37" s="3" t="s">
        <v>118</v>
      </c>
      <c r="X37" s="3">
        <v>5</v>
      </c>
      <c r="Y37" s="3" t="s">
        <v>92</v>
      </c>
      <c r="Z37" s="3">
        <v>30</v>
      </c>
      <c r="AA37" s="3">
        <v>0</v>
      </c>
      <c r="AB37" s="3">
        <v>0</v>
      </c>
      <c r="AC37" s="3">
        <v>0</v>
      </c>
      <c r="AD37" s="3">
        <v>0</v>
      </c>
      <c r="AE37" s="3">
        <v>0</v>
      </c>
      <c r="AF37" s="3">
        <v>0</v>
      </c>
      <c r="AG37" s="9" t="s">
        <v>93</v>
      </c>
      <c r="AH37" s="3" t="s">
        <v>93</v>
      </c>
      <c r="AI37" s="3" t="s">
        <v>94</v>
      </c>
      <c r="AJ37" s="3" t="s">
        <v>93</v>
      </c>
      <c r="AK37" s="3" t="s">
        <v>94</v>
      </c>
      <c r="AL37" s="3" t="s">
        <v>93</v>
      </c>
      <c r="AM37" s="3" t="s">
        <v>93</v>
      </c>
      <c r="AN37" s="3" t="s">
        <v>93</v>
      </c>
      <c r="AO37" s="3" t="s">
        <v>93</v>
      </c>
      <c r="AP37" s="3" t="s">
        <v>93</v>
      </c>
      <c r="AQ37" s="3" t="s">
        <v>93</v>
      </c>
      <c r="AR37" s="3" t="s">
        <v>93</v>
      </c>
      <c r="AS37" s="3" t="s">
        <v>93</v>
      </c>
      <c r="AT37" s="3" t="s">
        <v>93</v>
      </c>
      <c r="AU37" s="3" t="s">
        <v>93</v>
      </c>
      <c r="AV37" s="3" t="s">
        <v>93</v>
      </c>
      <c r="AW37" s="3" t="s">
        <v>93</v>
      </c>
      <c r="AX37" s="3" t="s">
        <v>93</v>
      </c>
      <c r="AY37" s="3" t="s">
        <v>93</v>
      </c>
      <c r="AZ37" s="3" t="s">
        <v>93</v>
      </c>
      <c r="BA37" s="3" t="s">
        <v>93</v>
      </c>
      <c r="BB37" s="3" t="s">
        <v>93</v>
      </c>
      <c r="BC37" s="11">
        <v>3</v>
      </c>
      <c r="BD37" s="11">
        <v>3</v>
      </c>
      <c r="BE37" s="11">
        <v>3</v>
      </c>
      <c r="BF37" s="11">
        <v>3</v>
      </c>
      <c r="BG37" s="11">
        <v>3</v>
      </c>
      <c r="BH37" s="11">
        <v>3</v>
      </c>
      <c r="BI37" s="11">
        <v>3</v>
      </c>
      <c r="BJ37" s="11">
        <v>3</v>
      </c>
      <c r="BK37" s="11">
        <v>3</v>
      </c>
      <c r="BL37" s="11">
        <v>3</v>
      </c>
      <c r="BM37" s="11">
        <v>4</v>
      </c>
      <c r="BN37" s="11">
        <v>4</v>
      </c>
      <c r="BO37" s="11">
        <v>4</v>
      </c>
      <c r="BP37" s="11">
        <v>4</v>
      </c>
      <c r="BQ37" s="11">
        <v>4</v>
      </c>
      <c r="BR37" s="11">
        <v>4</v>
      </c>
      <c r="BS37" s="11">
        <v>4</v>
      </c>
      <c r="BT37" s="11">
        <v>4</v>
      </c>
      <c r="BU37" s="11">
        <v>4</v>
      </c>
      <c r="BV37" s="11">
        <v>4</v>
      </c>
      <c r="BW37" s="11">
        <v>4</v>
      </c>
      <c r="BX37" s="11">
        <v>4</v>
      </c>
      <c r="BY37" s="11">
        <v>4</v>
      </c>
      <c r="BZ37" s="11">
        <v>4</v>
      </c>
      <c r="CA37" s="11">
        <v>4</v>
      </c>
      <c r="CB37" s="11">
        <v>4</v>
      </c>
      <c r="CC37" s="11">
        <v>4</v>
      </c>
      <c r="CD37" s="11">
        <v>4</v>
      </c>
      <c r="CF37" s="3">
        <v>20</v>
      </c>
      <c r="CG37" s="3">
        <v>30</v>
      </c>
      <c r="CH37" s="3">
        <v>72</v>
      </c>
      <c r="CI37" s="6">
        <f>COUNTIF(AG37:BB37, "Dispone")/22</f>
        <v>0.90909090909090906</v>
      </c>
      <c r="CJ37" s="7">
        <f>AVERAGE(BC37:BL37)</f>
        <v>3</v>
      </c>
      <c r="CK37" s="15">
        <f>AVERAGE(BM37:CD37)</f>
        <v>4</v>
      </c>
      <c r="CL37" s="9" t="str">
        <f>IF(AND(CI37&gt;50%, CJ37&gt;2.5, CK37&gt;2.5), "Compromiso", "")</f>
        <v>Compromiso</v>
      </c>
      <c r="CM37" s="9" t="str">
        <f>IF(AND(CI37&gt;75%, CJ37&gt;4, CK37&gt;4), "Liderazgo", "")</f>
        <v/>
      </c>
      <c r="CN37" s="9" t="str">
        <f>IF(AND(CI37&gt;90%, CJ37&gt;4.5, CK37&gt;4.5), "Transformación", "")</f>
        <v/>
      </c>
      <c r="CO37" s="9" t="s">
        <v>95</v>
      </c>
      <c r="CP37" s="3" t="s">
        <v>95</v>
      </c>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row>
    <row r="38" spans="1:155" ht="17.25" customHeight="1" x14ac:dyDescent="0.25">
      <c r="A38" s="16">
        <v>45960.07708333333</v>
      </c>
      <c r="B38" s="16">
        <v>45961.198611111111</v>
      </c>
      <c r="C38" s="3" t="s">
        <v>96</v>
      </c>
      <c r="D38" s="11">
        <v>189203251126</v>
      </c>
      <c r="E38" s="3">
        <v>96941</v>
      </c>
      <c r="F38" s="3" t="b">
        <v>1</v>
      </c>
      <c r="G38" s="16">
        <v>45961.198611111111</v>
      </c>
      <c r="H38" s="3" t="s">
        <v>844</v>
      </c>
      <c r="I38" s="3">
        <v>19.383700000000001</v>
      </c>
      <c r="J38" s="3">
        <v>-99.175700000000006</v>
      </c>
      <c r="K38" s="3" t="s">
        <v>98</v>
      </c>
      <c r="L38" s="3" t="s">
        <v>845</v>
      </c>
      <c r="M38" s="3" t="s">
        <v>107</v>
      </c>
      <c r="O38" s="3" t="s">
        <v>911</v>
      </c>
      <c r="Q38" s="3" t="s">
        <v>130</v>
      </c>
      <c r="AG38" s="3" t="s">
        <v>94</v>
      </c>
      <c r="AH38" s="3" t="s">
        <v>93</v>
      </c>
      <c r="AJ38" s="3" t="s">
        <v>93</v>
      </c>
      <c r="AK38" s="3" t="s">
        <v>93</v>
      </c>
      <c r="AL38" s="3" t="s">
        <v>93</v>
      </c>
      <c r="AM38" s="3" t="s">
        <v>93</v>
      </c>
      <c r="AN38" s="3" t="s">
        <v>93</v>
      </c>
      <c r="AO38" s="3" t="s">
        <v>93</v>
      </c>
      <c r="AP38" s="3" t="s">
        <v>93</v>
      </c>
      <c r="AQ38" s="3" t="s">
        <v>93</v>
      </c>
      <c r="AR38" s="3" t="s">
        <v>93</v>
      </c>
      <c r="AS38" s="3" t="s">
        <v>93</v>
      </c>
      <c r="AT38" s="3" t="s">
        <v>93</v>
      </c>
      <c r="AU38" s="3" t="s">
        <v>93</v>
      </c>
      <c r="AV38" s="3" t="s">
        <v>93</v>
      </c>
      <c r="AW38" s="3" t="s">
        <v>93</v>
      </c>
      <c r="AX38" s="3" t="s">
        <v>93</v>
      </c>
      <c r="AY38" s="3" t="s">
        <v>93</v>
      </c>
      <c r="AZ38" s="3" t="s">
        <v>93</v>
      </c>
      <c r="BA38" s="3" t="s">
        <v>93</v>
      </c>
      <c r="BB38" s="3" t="s">
        <v>93</v>
      </c>
      <c r="BC38" s="3">
        <v>5</v>
      </c>
      <c r="BD38" s="3">
        <v>5</v>
      </c>
      <c r="BE38" s="3">
        <v>5</v>
      </c>
      <c r="BF38" s="3">
        <v>4</v>
      </c>
      <c r="BG38" s="3">
        <v>4</v>
      </c>
      <c r="BH38" s="3">
        <v>4</v>
      </c>
      <c r="BI38" s="3">
        <v>4</v>
      </c>
      <c r="BJ38" s="3">
        <v>5</v>
      </c>
      <c r="BK38" s="3">
        <v>5</v>
      </c>
      <c r="BL38" s="3">
        <v>5</v>
      </c>
      <c r="BM38" s="3">
        <v>5</v>
      </c>
      <c r="BN38" s="3">
        <v>5</v>
      </c>
      <c r="BO38" s="3">
        <v>5</v>
      </c>
      <c r="BP38" s="3">
        <v>5</v>
      </c>
      <c r="BQ38" s="3">
        <v>5</v>
      </c>
      <c r="BR38" s="3">
        <v>5</v>
      </c>
      <c r="BS38" s="3">
        <v>5</v>
      </c>
      <c r="BT38" s="3">
        <v>5</v>
      </c>
      <c r="BU38" s="3">
        <v>5</v>
      </c>
      <c r="BV38" s="3">
        <v>5</v>
      </c>
      <c r="BW38" s="3">
        <v>4</v>
      </c>
      <c r="BX38" s="3">
        <v>4</v>
      </c>
      <c r="BY38" s="3">
        <v>5</v>
      </c>
      <c r="BZ38" s="3">
        <v>5</v>
      </c>
      <c r="CA38" s="3">
        <v>5</v>
      </c>
      <c r="CB38" s="3">
        <v>5</v>
      </c>
      <c r="CC38" s="3">
        <v>5</v>
      </c>
      <c r="CD38" s="3">
        <v>5</v>
      </c>
      <c r="CF38" s="3">
        <f>COUNTIF(AG38:BB38, "Dispone")</f>
        <v>20</v>
      </c>
      <c r="CG38" s="3">
        <v>46</v>
      </c>
      <c r="CH38" s="3">
        <f>SUM(BM38:CD38)</f>
        <v>88</v>
      </c>
      <c r="CI38" s="6">
        <f>COUNTIF(AG38:BB38, "Dispone")/22</f>
        <v>0.90909090909090906</v>
      </c>
      <c r="CJ38" s="7">
        <f>AVERAGE(BC38:BL38)</f>
        <v>4.5999999999999996</v>
      </c>
      <c r="CK38" s="8">
        <f>AVERAGE(BM38:CD38)</f>
        <v>4.8888888888888893</v>
      </c>
      <c r="CL38" s="9" t="str">
        <f>IF(AND(CI38&gt;50%, CJ38&gt;2.5, CK38&gt;2.5), "Compromiso", "")</f>
        <v>Compromiso</v>
      </c>
      <c r="CM38" s="9" t="str">
        <f>IF(AND(CI38&gt;75%, CJ38&gt;4, CK38&gt;4), "Liderazgo", "")</f>
        <v>Liderazgo</v>
      </c>
      <c r="CN38" s="9" t="str">
        <f>IF(AND(CI38&gt;90%, CJ38&gt;4.5, CK38&gt;4.5), "Transformación", "")</f>
        <v>Transformación</v>
      </c>
      <c r="CO38" s="9" t="s">
        <v>132</v>
      </c>
      <c r="CP38" s="3" t="s">
        <v>132</v>
      </c>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row>
    <row r="39" spans="1:155" ht="17.25" customHeight="1" x14ac:dyDescent="0.25">
      <c r="A39" s="16">
        <v>45960.645138888889</v>
      </c>
      <c r="B39" s="16">
        <v>45961.688888888886</v>
      </c>
      <c r="C39" s="3" t="s">
        <v>96</v>
      </c>
      <c r="D39" s="3" t="s">
        <v>667</v>
      </c>
      <c r="E39" s="3">
        <v>90179</v>
      </c>
      <c r="F39" s="3" t="b">
        <v>1</v>
      </c>
      <c r="G39" s="16">
        <v>45961.688888888886</v>
      </c>
      <c r="H39" s="3" t="s">
        <v>668</v>
      </c>
      <c r="I39" s="3">
        <v>-11.85</v>
      </c>
      <c r="J39" s="3">
        <v>-76.45</v>
      </c>
      <c r="K39" s="3" t="s">
        <v>98</v>
      </c>
      <c r="L39" s="3" t="s">
        <v>669</v>
      </c>
      <c r="M39" s="3" t="s">
        <v>670</v>
      </c>
      <c r="N39" s="3" t="s">
        <v>671</v>
      </c>
      <c r="O39" s="3" t="s">
        <v>923</v>
      </c>
      <c r="P39" s="3" t="s">
        <v>672</v>
      </c>
      <c r="Q39" s="3" t="s">
        <v>206</v>
      </c>
      <c r="R39" s="3">
        <v>1971</v>
      </c>
      <c r="S39" s="3">
        <v>2315</v>
      </c>
      <c r="T39" s="3">
        <v>17846</v>
      </c>
      <c r="U39" s="3">
        <v>1317</v>
      </c>
      <c r="V39" s="3">
        <v>0</v>
      </c>
      <c r="W39" s="3" t="s">
        <v>118</v>
      </c>
      <c r="X39" s="3">
        <v>1.1000000000000001</v>
      </c>
      <c r="Y39" s="3" t="s">
        <v>92</v>
      </c>
      <c r="Z39" s="3">
        <v>48</v>
      </c>
      <c r="AA39" s="3">
        <v>3018420</v>
      </c>
      <c r="AB39" s="3">
        <v>1263</v>
      </c>
      <c r="AC39" s="3">
        <v>5</v>
      </c>
      <c r="AD39" s="3">
        <v>720000</v>
      </c>
      <c r="AE39" s="3">
        <v>23</v>
      </c>
      <c r="AF39" s="3">
        <v>25500</v>
      </c>
      <c r="AG39" s="3" t="s">
        <v>93</v>
      </c>
      <c r="AH39" s="3" t="s">
        <v>93</v>
      </c>
      <c r="AI39" s="3" t="s">
        <v>94</v>
      </c>
      <c r="AJ39" s="3" t="s">
        <v>93</v>
      </c>
      <c r="AK39" s="3" t="s">
        <v>93</v>
      </c>
      <c r="AL39" s="3" t="s">
        <v>93</v>
      </c>
      <c r="AM39" s="3" t="s">
        <v>93</v>
      </c>
      <c r="AN39" s="3" t="s">
        <v>94</v>
      </c>
      <c r="AO39" s="3" t="s">
        <v>93</v>
      </c>
      <c r="AP39" s="3" t="s">
        <v>93</v>
      </c>
      <c r="AQ39" s="3" t="s">
        <v>94</v>
      </c>
      <c r="AR39" s="3" t="s">
        <v>93</v>
      </c>
      <c r="AS39" s="3" t="s">
        <v>93</v>
      </c>
      <c r="AT39" s="3" t="s">
        <v>94</v>
      </c>
      <c r="AU39" s="3" t="s">
        <v>93</v>
      </c>
      <c r="AV39" s="3" t="s">
        <v>93</v>
      </c>
      <c r="AW39" s="3" t="s">
        <v>94</v>
      </c>
      <c r="AX39" s="3" t="s">
        <v>94</v>
      </c>
      <c r="AY39" s="3" t="s">
        <v>94</v>
      </c>
      <c r="AZ39" s="3" t="s">
        <v>93</v>
      </c>
      <c r="BA39" s="3" t="s">
        <v>93</v>
      </c>
      <c r="BB39" s="3" t="s">
        <v>93</v>
      </c>
      <c r="BC39" s="3">
        <v>3</v>
      </c>
      <c r="BD39" s="3">
        <v>3</v>
      </c>
      <c r="BE39" s="3">
        <v>3</v>
      </c>
      <c r="BF39" s="3">
        <v>2</v>
      </c>
      <c r="BG39" s="3">
        <v>3</v>
      </c>
      <c r="BH39" s="3">
        <v>2</v>
      </c>
      <c r="BI39" s="3">
        <v>4</v>
      </c>
      <c r="BJ39" s="3">
        <v>2</v>
      </c>
      <c r="BK39" s="3">
        <v>1</v>
      </c>
      <c r="BL39" s="3">
        <v>2</v>
      </c>
      <c r="BM39" s="3">
        <v>5</v>
      </c>
      <c r="BN39" s="3">
        <v>5</v>
      </c>
      <c r="BO39" s="3">
        <v>5</v>
      </c>
      <c r="BP39" s="3">
        <v>3</v>
      </c>
      <c r="BQ39" s="3">
        <v>2</v>
      </c>
      <c r="BR39" s="3">
        <v>5</v>
      </c>
      <c r="BS39" s="3">
        <v>3</v>
      </c>
      <c r="BT39" s="3">
        <v>5</v>
      </c>
      <c r="BU39" s="3">
        <v>2</v>
      </c>
      <c r="BV39" s="3">
        <v>4</v>
      </c>
      <c r="BW39" s="3">
        <v>2</v>
      </c>
      <c r="BX39" s="3">
        <v>4</v>
      </c>
      <c r="BY39" s="3">
        <v>4</v>
      </c>
      <c r="BZ39" s="3">
        <v>5</v>
      </c>
      <c r="CA39" s="3">
        <v>5</v>
      </c>
      <c r="CB39" s="3">
        <v>5</v>
      </c>
      <c r="CC39" s="3">
        <v>4</v>
      </c>
      <c r="CD39" s="3">
        <v>5</v>
      </c>
      <c r="CF39" s="3">
        <v>15</v>
      </c>
      <c r="CG39" s="3">
        <v>25</v>
      </c>
      <c r="CH39" s="3">
        <v>73</v>
      </c>
      <c r="CI39" s="6">
        <f>COUNTIF(AG39:BB39, "Dispone")/22</f>
        <v>0.68181818181818177</v>
      </c>
      <c r="CJ39" s="7">
        <f>AVERAGE(BC39:BL39)</f>
        <v>2.5</v>
      </c>
      <c r="CK39" s="15">
        <f>AVERAGE(BM39:CD39)</f>
        <v>4.0555555555555554</v>
      </c>
      <c r="CL39" s="9" t="str">
        <f>IF(AND(CI39&gt;50%, CJ39&gt;2.5, CK39&gt;2.5), "Compromiso", "")</f>
        <v/>
      </c>
      <c r="CM39" s="9" t="str">
        <f>IF(AND(CI39&gt;75%, CJ39&gt;4, CK39&gt;4), "Liderazgo", "")</f>
        <v/>
      </c>
      <c r="CN39" s="9" t="str">
        <f>IF(AND(CI39&gt;90%, CJ39&gt;4.5, CK39&gt;4.5), "Transformación", "")</f>
        <v/>
      </c>
      <c r="CO39" s="9" t="s">
        <v>581</v>
      </c>
      <c r="CP39" s="3" t="s">
        <v>95</v>
      </c>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row>
    <row r="40" spans="1:155" ht="17.25" customHeight="1" x14ac:dyDescent="0.25">
      <c r="A40" s="16">
        <v>45987.684027777781</v>
      </c>
      <c r="B40" s="16">
        <v>45988.661805555559</v>
      </c>
      <c r="C40" s="3" t="s">
        <v>96</v>
      </c>
      <c r="D40" s="3" t="s">
        <v>374</v>
      </c>
      <c r="E40" s="3">
        <v>84458</v>
      </c>
      <c r="F40" s="3" t="b">
        <v>1</v>
      </c>
      <c r="G40" s="16">
        <v>45988.661805555559</v>
      </c>
      <c r="H40" s="3" t="s">
        <v>375</v>
      </c>
      <c r="I40" s="3">
        <v>6.2529000000000003</v>
      </c>
      <c r="J40" s="3">
        <v>-75.564599999999999</v>
      </c>
      <c r="K40" s="3" t="s">
        <v>98</v>
      </c>
      <c r="L40" s="3" t="s">
        <v>376</v>
      </c>
      <c r="M40" s="3" t="s">
        <v>377</v>
      </c>
      <c r="N40" s="3" t="s">
        <v>378</v>
      </c>
      <c r="O40" s="3" t="s">
        <v>172</v>
      </c>
      <c r="P40" s="3">
        <v>3814147501</v>
      </c>
      <c r="Q40" s="3" t="s">
        <v>206</v>
      </c>
      <c r="R40" s="3">
        <v>2007</v>
      </c>
      <c r="S40" s="3">
        <v>100</v>
      </c>
      <c r="T40" s="3">
        <v>2000</v>
      </c>
      <c r="U40" s="3">
        <v>200</v>
      </c>
      <c r="V40" s="3">
        <v>0</v>
      </c>
      <c r="W40" s="3" t="s">
        <v>91</v>
      </c>
      <c r="X40" s="3">
        <v>1</v>
      </c>
      <c r="Y40" s="3" t="s">
        <v>92</v>
      </c>
      <c r="Z40" s="3">
        <v>3</v>
      </c>
      <c r="AA40" s="3">
        <v>0</v>
      </c>
      <c r="AB40" s="3">
        <v>0</v>
      </c>
      <c r="AC40" s="3">
        <v>0</v>
      </c>
      <c r="AD40" s="3">
        <v>0</v>
      </c>
      <c r="AE40" s="3">
        <v>100</v>
      </c>
      <c r="AF40" s="3">
        <v>5000</v>
      </c>
      <c r="AG40" s="3" t="s">
        <v>93</v>
      </c>
      <c r="AH40" s="3" t="s">
        <v>93</v>
      </c>
      <c r="AI40" s="3" t="s">
        <v>94</v>
      </c>
      <c r="AJ40" s="3" t="s">
        <v>93</v>
      </c>
      <c r="AK40" s="3" t="s">
        <v>93</v>
      </c>
      <c r="AL40" s="3" t="s">
        <v>93</v>
      </c>
      <c r="AM40" s="3" t="s">
        <v>94</v>
      </c>
      <c r="AN40" s="3" t="s">
        <v>94</v>
      </c>
      <c r="AO40" s="3" t="s">
        <v>93</v>
      </c>
      <c r="AP40" s="3" t="s">
        <v>93</v>
      </c>
      <c r="AQ40" s="3" t="s">
        <v>94</v>
      </c>
      <c r="AR40" s="3" t="s">
        <v>94</v>
      </c>
      <c r="AS40" s="3" t="s">
        <v>93</v>
      </c>
      <c r="AT40" s="3" t="s">
        <v>93</v>
      </c>
      <c r="AU40" s="3" t="s">
        <v>93</v>
      </c>
      <c r="AV40" s="3" t="s">
        <v>93</v>
      </c>
      <c r="AW40" s="3" t="s">
        <v>94</v>
      </c>
      <c r="AX40" s="3" t="s">
        <v>93</v>
      </c>
      <c r="AY40" s="3" t="s">
        <v>93</v>
      </c>
      <c r="AZ40" s="3" t="s">
        <v>93</v>
      </c>
      <c r="BA40" s="3" t="s">
        <v>93</v>
      </c>
      <c r="BB40" s="3" t="s">
        <v>93</v>
      </c>
      <c r="BC40" s="3">
        <v>2</v>
      </c>
      <c r="BD40" s="3">
        <v>2</v>
      </c>
      <c r="BE40" s="3">
        <v>2</v>
      </c>
      <c r="BF40" s="3">
        <v>2</v>
      </c>
      <c r="BG40" s="3">
        <v>2</v>
      </c>
      <c r="BH40" s="3">
        <v>2</v>
      </c>
      <c r="BI40" s="3">
        <v>5</v>
      </c>
      <c r="BJ40" s="3">
        <v>5</v>
      </c>
      <c r="BK40" s="3">
        <v>2</v>
      </c>
      <c r="BL40" s="3">
        <v>5</v>
      </c>
      <c r="BM40" s="3">
        <v>5</v>
      </c>
      <c r="BN40" s="3">
        <v>5</v>
      </c>
      <c r="BO40" s="3">
        <v>5</v>
      </c>
      <c r="BP40" s="3">
        <v>2</v>
      </c>
      <c r="BQ40" s="3">
        <v>5</v>
      </c>
      <c r="BR40" s="3">
        <v>5</v>
      </c>
      <c r="BS40" s="3">
        <v>5</v>
      </c>
      <c r="BT40" s="3">
        <v>2</v>
      </c>
      <c r="BU40" s="3">
        <v>2</v>
      </c>
      <c r="BV40" s="3">
        <v>2</v>
      </c>
      <c r="BW40" s="3">
        <v>5</v>
      </c>
      <c r="BX40" s="3">
        <v>5</v>
      </c>
      <c r="BY40" s="3">
        <v>5</v>
      </c>
      <c r="BZ40" s="3">
        <v>5</v>
      </c>
      <c r="CA40" s="3">
        <v>5</v>
      </c>
      <c r="CB40" s="3">
        <v>5</v>
      </c>
      <c r="CC40" s="3">
        <v>5</v>
      </c>
      <c r="CD40" s="3">
        <v>5</v>
      </c>
      <c r="CE40" s="3" t="s">
        <v>314</v>
      </c>
      <c r="CF40" s="3">
        <v>16</v>
      </c>
      <c r="CG40" s="3">
        <v>29</v>
      </c>
      <c r="CH40" s="3">
        <v>78</v>
      </c>
      <c r="CI40" s="6">
        <f>COUNTIF(AG40:BB40, "Dispone")/22</f>
        <v>0.72727272727272729</v>
      </c>
      <c r="CJ40" s="7">
        <f>AVERAGE(BC40:BL40)</f>
        <v>2.9</v>
      </c>
      <c r="CK40" s="15">
        <f>AVERAGE(BM40:CD40)</f>
        <v>4.333333333333333</v>
      </c>
      <c r="CL40" s="9" t="str">
        <f>IF(AND(CI40&gt;50%, CJ40&gt;2.5, CK40&gt;2.5), "Compromiso", "")</f>
        <v>Compromiso</v>
      </c>
      <c r="CM40" s="9" t="str">
        <f>IF(AND(CI40&gt;75%, CJ40&gt;4, CK40&gt;4), "Liderazgo", "")</f>
        <v/>
      </c>
      <c r="CN40" s="9" t="str">
        <f>IF(AND(CI40&gt;90%, CJ40&gt;4.5, CK40&gt;4.5), "Transformación", "")</f>
        <v/>
      </c>
      <c r="CO40" s="9" t="s">
        <v>95</v>
      </c>
      <c r="CP40" s="3" t="s">
        <v>95</v>
      </c>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row>
    <row r="41" spans="1:155" ht="17.25" customHeight="1" x14ac:dyDescent="0.25">
      <c r="A41" s="12">
        <v>45909.565358796295</v>
      </c>
      <c r="B41" s="12">
        <v>45910.51834490741</v>
      </c>
      <c r="C41" s="9" t="s">
        <v>96</v>
      </c>
      <c r="D41" s="9" t="s">
        <v>253</v>
      </c>
      <c r="E41" s="13">
        <v>82337</v>
      </c>
      <c r="F41" s="9" t="s">
        <v>105</v>
      </c>
      <c r="G41" s="12">
        <v>45910.518351226849</v>
      </c>
      <c r="H41" s="9" t="s">
        <v>254</v>
      </c>
      <c r="I41" s="13">
        <v>27.7624</v>
      </c>
      <c r="J41" s="13">
        <v>-15.5975</v>
      </c>
      <c r="K41" s="9" t="s">
        <v>98</v>
      </c>
      <c r="L41" s="9" t="s">
        <v>255</v>
      </c>
      <c r="M41" s="3" t="s">
        <v>256</v>
      </c>
      <c r="N41" s="9" t="s">
        <v>257</v>
      </c>
      <c r="O41" s="3" t="s">
        <v>924</v>
      </c>
      <c r="P41" s="9" t="s">
        <v>258</v>
      </c>
      <c r="Q41" s="9" t="s">
        <v>124</v>
      </c>
      <c r="R41" s="3">
        <v>1981</v>
      </c>
      <c r="S41" s="3">
        <v>1799</v>
      </c>
      <c r="T41" s="3">
        <v>11890</v>
      </c>
      <c r="U41" s="3">
        <v>0</v>
      </c>
      <c r="V41" s="3">
        <v>0</v>
      </c>
      <c r="W41" s="9" t="s">
        <v>118</v>
      </c>
      <c r="X41" s="3">
        <v>0</v>
      </c>
      <c r="Y41" s="9" t="s">
        <v>92</v>
      </c>
      <c r="Z41" s="3">
        <v>102</v>
      </c>
      <c r="AA41" s="3">
        <v>8473000</v>
      </c>
      <c r="AB41" s="3">
        <v>10457</v>
      </c>
      <c r="AC41" s="3">
        <v>5</v>
      </c>
      <c r="AD41" s="3">
        <v>291365</v>
      </c>
      <c r="AE41" s="3">
        <v>7</v>
      </c>
      <c r="AF41" s="3">
        <v>110000</v>
      </c>
      <c r="AG41" s="9" t="s">
        <v>93</v>
      </c>
      <c r="AH41" s="9" t="s">
        <v>93</v>
      </c>
      <c r="AI41" s="9" t="s">
        <v>94</v>
      </c>
      <c r="AJ41" s="9" t="s">
        <v>93</v>
      </c>
      <c r="AK41" s="9" t="s">
        <v>93</v>
      </c>
      <c r="AL41" s="9" t="s">
        <v>93</v>
      </c>
      <c r="AM41" s="9" t="s">
        <v>93</v>
      </c>
      <c r="AN41" s="9" t="s">
        <v>93</v>
      </c>
      <c r="AO41" s="9" t="s">
        <v>93</v>
      </c>
      <c r="AP41" s="9" t="s">
        <v>93</v>
      </c>
      <c r="AQ41" s="9" t="s">
        <v>94</v>
      </c>
      <c r="AR41" s="9" t="s">
        <v>93</v>
      </c>
      <c r="AS41" s="9" t="s">
        <v>93</v>
      </c>
      <c r="AT41" s="9" t="s">
        <v>93</v>
      </c>
      <c r="AU41" s="9" t="s">
        <v>93</v>
      </c>
      <c r="AV41" s="9" t="s">
        <v>93</v>
      </c>
      <c r="AW41" s="9" t="s">
        <v>93</v>
      </c>
      <c r="AX41" s="9" t="s">
        <v>94</v>
      </c>
      <c r="AY41" s="9" t="s">
        <v>93</v>
      </c>
      <c r="AZ41" s="9" t="s">
        <v>93</v>
      </c>
      <c r="BA41" s="9" t="s">
        <v>93</v>
      </c>
      <c r="BB41" s="9" t="s">
        <v>93</v>
      </c>
      <c r="BC41" s="11">
        <v>5</v>
      </c>
      <c r="BD41" s="11">
        <v>5</v>
      </c>
      <c r="BE41" s="11">
        <v>3</v>
      </c>
      <c r="BF41" s="11">
        <v>3</v>
      </c>
      <c r="BG41" s="11">
        <v>3</v>
      </c>
      <c r="BH41" s="11">
        <v>3</v>
      </c>
      <c r="BI41" s="11">
        <v>3</v>
      </c>
      <c r="BJ41" s="11">
        <v>3</v>
      </c>
      <c r="BK41" s="11">
        <v>3</v>
      </c>
      <c r="BL41" s="11">
        <v>3</v>
      </c>
      <c r="BM41" s="11">
        <v>5</v>
      </c>
      <c r="BN41" s="11">
        <v>5</v>
      </c>
      <c r="BO41" s="11">
        <v>5</v>
      </c>
      <c r="BP41" s="11">
        <v>3</v>
      </c>
      <c r="BQ41" s="11">
        <v>3</v>
      </c>
      <c r="BR41" s="11">
        <v>4</v>
      </c>
      <c r="BS41" s="11">
        <v>4</v>
      </c>
      <c r="BT41" s="11">
        <v>5</v>
      </c>
      <c r="BU41" s="11">
        <v>4</v>
      </c>
      <c r="BV41" s="11">
        <v>3</v>
      </c>
      <c r="BW41" s="11">
        <v>3</v>
      </c>
      <c r="BX41" s="11">
        <v>2</v>
      </c>
      <c r="BY41" s="11">
        <v>4</v>
      </c>
      <c r="BZ41" s="11">
        <v>4</v>
      </c>
      <c r="CA41" s="11">
        <v>4</v>
      </c>
      <c r="CB41" s="11">
        <v>5</v>
      </c>
      <c r="CC41" s="11">
        <v>3</v>
      </c>
      <c r="CD41" s="11">
        <v>4</v>
      </c>
      <c r="CE41" s="9"/>
      <c r="CF41" s="3">
        <v>19</v>
      </c>
      <c r="CG41" s="3">
        <v>34</v>
      </c>
      <c r="CH41" s="3">
        <v>70</v>
      </c>
      <c r="CI41" s="6">
        <f>COUNTIF(AG41:BB41, "Dispone")/22</f>
        <v>0.86363636363636365</v>
      </c>
      <c r="CJ41" s="7">
        <f>AVERAGE(BC41:BL41)</f>
        <v>3.4</v>
      </c>
      <c r="CK41" s="15">
        <f>AVERAGE(BM41:CD41)</f>
        <v>3.8888888888888888</v>
      </c>
      <c r="CL41" s="9" t="str">
        <f>IF(AND(CI41&gt;50%, CJ41&gt;2.5, CK41&gt;2.5), "Compromiso", "")</f>
        <v>Compromiso</v>
      </c>
      <c r="CM41" s="9" t="str">
        <f>IF(AND(CI41&gt;75%, CJ41&gt;4, CK41&gt;4), "Liderazgo", "")</f>
        <v/>
      </c>
      <c r="CN41" s="9" t="str">
        <f>IF(AND(CI41&gt;90%, CJ41&gt;4.5, CK41&gt;4.5), "Transformación", "")</f>
        <v/>
      </c>
      <c r="CO41" s="9" t="s">
        <v>95</v>
      </c>
      <c r="CP41" s="3" t="s">
        <v>146</v>
      </c>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row>
    <row r="42" spans="1:155" ht="17.25" customHeight="1" x14ac:dyDescent="0.25">
      <c r="A42" s="12">
        <v>45903.502604166664</v>
      </c>
      <c r="B42" s="12">
        <v>45904.450694444444</v>
      </c>
      <c r="C42" s="9" t="s">
        <v>96</v>
      </c>
      <c r="D42" s="9" t="s">
        <v>285</v>
      </c>
      <c r="E42" s="13">
        <v>81915</v>
      </c>
      <c r="F42" s="9" t="s">
        <v>105</v>
      </c>
      <c r="G42" s="12">
        <v>45904.450717731481</v>
      </c>
      <c r="H42" s="9" t="s">
        <v>286</v>
      </c>
      <c r="I42" s="13">
        <v>36.830599999999997</v>
      </c>
      <c r="J42" s="13">
        <v>-2.4596</v>
      </c>
      <c r="K42" s="9" t="s">
        <v>98</v>
      </c>
      <c r="L42" s="9" t="s">
        <v>287</v>
      </c>
      <c r="M42" s="3" t="s">
        <v>288</v>
      </c>
      <c r="N42" s="9" t="s">
        <v>289</v>
      </c>
      <c r="O42" s="3" t="s">
        <v>925</v>
      </c>
      <c r="P42" s="9" t="s">
        <v>290</v>
      </c>
      <c r="Q42" s="9" t="s">
        <v>130</v>
      </c>
      <c r="R42" s="3">
        <v>1241</v>
      </c>
      <c r="S42" s="3">
        <v>3.5</v>
      </c>
      <c r="T42" s="3">
        <v>25</v>
      </c>
      <c r="U42" s="3">
        <v>1.5</v>
      </c>
      <c r="V42" s="3">
        <v>500</v>
      </c>
      <c r="W42" s="9" t="s">
        <v>118</v>
      </c>
      <c r="X42" s="3">
        <v>10</v>
      </c>
      <c r="Y42" s="9" t="s">
        <v>92</v>
      </c>
      <c r="Z42" s="3">
        <v>50</v>
      </c>
      <c r="AA42" s="3">
        <v>39905287</v>
      </c>
      <c r="AB42" s="3">
        <v>7033</v>
      </c>
      <c r="AC42" s="3">
        <v>50</v>
      </c>
      <c r="AD42" s="3">
        <v>97702</v>
      </c>
      <c r="AE42" s="3">
        <v>76</v>
      </c>
      <c r="AF42" s="3">
        <v>7646212</v>
      </c>
      <c r="AG42" s="9" t="s">
        <v>93</v>
      </c>
      <c r="AH42" s="9" t="s">
        <v>93</v>
      </c>
      <c r="AI42" s="9" t="s">
        <v>93</v>
      </c>
      <c r="AJ42" s="9" t="s">
        <v>93</v>
      </c>
      <c r="AK42" s="9" t="s">
        <v>93</v>
      </c>
      <c r="AL42" s="9" t="s">
        <v>93</v>
      </c>
      <c r="AM42" s="9" t="s">
        <v>93</v>
      </c>
      <c r="AN42" s="9" t="s">
        <v>93</v>
      </c>
      <c r="AO42" s="9" t="s">
        <v>93</v>
      </c>
      <c r="AP42" s="9" t="s">
        <v>93</v>
      </c>
      <c r="AQ42" s="9" t="s">
        <v>93</v>
      </c>
      <c r="AR42" s="9" t="s">
        <v>93</v>
      </c>
      <c r="AS42" s="9" t="s">
        <v>93</v>
      </c>
      <c r="AT42" s="9" t="s">
        <v>93</v>
      </c>
      <c r="AU42" s="9" t="s">
        <v>93</v>
      </c>
      <c r="AV42" s="9" t="s">
        <v>93</v>
      </c>
      <c r="AW42" s="9" t="s">
        <v>93</v>
      </c>
      <c r="AX42" s="9" t="s">
        <v>93</v>
      </c>
      <c r="AY42" s="9" t="s">
        <v>93</v>
      </c>
      <c r="AZ42" s="9" t="s">
        <v>93</v>
      </c>
      <c r="BA42" s="9" t="s">
        <v>93</v>
      </c>
      <c r="BB42" s="9" t="s">
        <v>93</v>
      </c>
      <c r="BC42" s="11">
        <v>4</v>
      </c>
      <c r="BD42" s="11">
        <v>4</v>
      </c>
      <c r="BE42" s="11">
        <v>4</v>
      </c>
      <c r="BF42" s="11">
        <v>4</v>
      </c>
      <c r="BG42" s="11">
        <v>4</v>
      </c>
      <c r="BH42" s="11">
        <v>4</v>
      </c>
      <c r="BI42" s="11">
        <v>4</v>
      </c>
      <c r="BJ42" s="11">
        <v>4</v>
      </c>
      <c r="BK42" s="11">
        <v>4</v>
      </c>
      <c r="BL42" s="11">
        <v>4</v>
      </c>
      <c r="BM42" s="11">
        <v>4</v>
      </c>
      <c r="BN42" s="11">
        <v>4</v>
      </c>
      <c r="BO42" s="11">
        <v>4</v>
      </c>
      <c r="BP42" s="11">
        <v>4</v>
      </c>
      <c r="BQ42" s="11">
        <v>4</v>
      </c>
      <c r="BR42" s="11">
        <v>4</v>
      </c>
      <c r="BS42" s="11">
        <v>4</v>
      </c>
      <c r="BT42" s="11">
        <v>4</v>
      </c>
      <c r="BU42" s="11">
        <v>4</v>
      </c>
      <c r="BV42" s="11">
        <v>4</v>
      </c>
      <c r="BW42" s="11">
        <v>4</v>
      </c>
      <c r="BX42" s="11">
        <v>4</v>
      </c>
      <c r="BY42" s="11">
        <v>4</v>
      </c>
      <c r="BZ42" s="11">
        <v>4</v>
      </c>
      <c r="CA42" s="11">
        <v>4</v>
      </c>
      <c r="CB42" s="11">
        <v>4</v>
      </c>
      <c r="CC42" s="11">
        <v>4</v>
      </c>
      <c r="CD42" s="11">
        <v>4</v>
      </c>
      <c r="CE42" s="9"/>
      <c r="CF42" s="3">
        <v>22</v>
      </c>
      <c r="CG42" s="3">
        <v>40</v>
      </c>
      <c r="CH42" s="3">
        <v>72</v>
      </c>
      <c r="CI42" s="6">
        <f>COUNTIF(AG42:BB42, "Dispone")/22</f>
        <v>1</v>
      </c>
      <c r="CJ42" s="7">
        <f>AVERAGE(BC42:BL42)</f>
        <v>4</v>
      </c>
      <c r="CK42" s="15">
        <f>AVERAGE(BM42:CD42)</f>
        <v>4</v>
      </c>
      <c r="CL42" s="9" t="str">
        <f>IF(AND(CI42&gt;50%, CJ42&gt;2.5, CK42&gt;2.5), "Compromiso", "")</f>
        <v>Compromiso</v>
      </c>
      <c r="CM42" s="9" t="str">
        <f>IF(AND(CI42&gt;75%, CJ42&gt;4, CK42&gt;4), "Liderazgo", "")</f>
        <v/>
      </c>
      <c r="CN42" s="9" t="str">
        <f>IF(AND(CI42&gt;90%, CJ42&gt;4.5, CK42&gt;4.5), "Transformación", "")</f>
        <v/>
      </c>
      <c r="CO42" s="9" t="s">
        <v>95</v>
      </c>
      <c r="CP42" s="3" t="s">
        <v>95</v>
      </c>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row>
    <row r="43" spans="1:155" ht="17.25" customHeight="1" x14ac:dyDescent="0.25">
      <c r="A43" s="12">
        <v>45911.49527777778</v>
      </c>
      <c r="B43" s="12">
        <v>45912.399317129632</v>
      </c>
      <c r="C43" s="9" t="s">
        <v>96</v>
      </c>
      <c r="D43" s="9" t="s">
        <v>445</v>
      </c>
      <c r="E43" s="13">
        <v>78109</v>
      </c>
      <c r="F43" s="9" t="s">
        <v>105</v>
      </c>
      <c r="G43" s="12">
        <v>45912.399325127313</v>
      </c>
      <c r="H43" s="9" t="s">
        <v>446</v>
      </c>
      <c r="I43" s="13">
        <v>40.432699999999997</v>
      </c>
      <c r="J43" s="13">
        <v>-3.7010999999999998</v>
      </c>
      <c r="K43" s="9" t="s">
        <v>98</v>
      </c>
      <c r="L43" s="9" t="s">
        <v>447</v>
      </c>
      <c r="M43" s="3" t="s">
        <v>448</v>
      </c>
      <c r="N43" s="9" t="s">
        <v>449</v>
      </c>
      <c r="O43" s="3" t="s">
        <v>450</v>
      </c>
      <c r="P43" s="9" t="s">
        <v>451</v>
      </c>
      <c r="Q43" s="9" t="s">
        <v>130</v>
      </c>
      <c r="R43" s="3">
        <v>1973</v>
      </c>
      <c r="S43" s="3">
        <v>373</v>
      </c>
      <c r="T43" s="3">
        <v>3683</v>
      </c>
      <c r="U43" s="3">
        <v>55</v>
      </c>
      <c r="V43" s="3">
        <v>0</v>
      </c>
      <c r="W43" s="9" t="s">
        <v>91</v>
      </c>
      <c r="X43" s="3">
        <v>18</v>
      </c>
      <c r="Y43" s="9" t="s">
        <v>153</v>
      </c>
      <c r="Z43" s="3">
        <v>3</v>
      </c>
      <c r="AA43" s="3">
        <v>444</v>
      </c>
      <c r="AB43" s="3">
        <v>22</v>
      </c>
      <c r="AC43" s="3">
        <v>91</v>
      </c>
      <c r="AD43" s="3">
        <v>0</v>
      </c>
      <c r="AE43" s="3">
        <v>0</v>
      </c>
      <c r="AF43" s="3">
        <v>0</v>
      </c>
      <c r="AG43" s="9" t="s">
        <v>93</v>
      </c>
      <c r="AH43" s="9" t="s">
        <v>93</v>
      </c>
      <c r="AI43" s="9" t="s">
        <v>94</v>
      </c>
      <c r="AJ43" s="9" t="s">
        <v>93</v>
      </c>
      <c r="AK43" s="9" t="s">
        <v>93</v>
      </c>
      <c r="AL43" s="9" t="s">
        <v>93</v>
      </c>
      <c r="AM43" s="9" t="s">
        <v>93</v>
      </c>
      <c r="AN43" s="9" t="s">
        <v>93</v>
      </c>
      <c r="AO43" s="9" t="s">
        <v>93</v>
      </c>
      <c r="AP43" s="9" t="s">
        <v>94</v>
      </c>
      <c r="AQ43" s="9" t="s">
        <v>93</v>
      </c>
      <c r="AR43" s="9" t="s">
        <v>93</v>
      </c>
      <c r="AS43" s="9" t="s">
        <v>93</v>
      </c>
      <c r="AT43" s="9" t="s">
        <v>93</v>
      </c>
      <c r="AU43" s="9" t="s">
        <v>93</v>
      </c>
      <c r="AV43" s="9" t="s">
        <v>93</v>
      </c>
      <c r="AW43" s="9" t="s">
        <v>94</v>
      </c>
      <c r="AX43" s="9" t="s">
        <v>93</v>
      </c>
      <c r="AY43" s="9" t="s">
        <v>93</v>
      </c>
      <c r="AZ43" s="9" t="s">
        <v>93</v>
      </c>
      <c r="BA43" s="9" t="s">
        <v>93</v>
      </c>
      <c r="BB43" s="9" t="s">
        <v>93</v>
      </c>
      <c r="BC43" s="11">
        <v>5</v>
      </c>
      <c r="BD43" s="11">
        <v>5</v>
      </c>
      <c r="BE43" s="11">
        <v>5</v>
      </c>
      <c r="BF43" s="11">
        <v>5</v>
      </c>
      <c r="BG43" s="11">
        <v>5</v>
      </c>
      <c r="BH43" s="11">
        <v>4</v>
      </c>
      <c r="BI43" s="11">
        <v>3</v>
      </c>
      <c r="BJ43" s="11">
        <v>4</v>
      </c>
      <c r="BK43" s="11">
        <v>5</v>
      </c>
      <c r="BL43" s="11">
        <v>4</v>
      </c>
      <c r="BM43" s="11">
        <v>5</v>
      </c>
      <c r="BN43" s="11">
        <v>5</v>
      </c>
      <c r="BO43" s="11">
        <v>3</v>
      </c>
      <c r="BP43" s="11">
        <v>5</v>
      </c>
      <c r="BQ43" s="11">
        <v>4</v>
      </c>
      <c r="BR43" s="11">
        <v>4</v>
      </c>
      <c r="BS43" s="11">
        <v>4</v>
      </c>
      <c r="BT43" s="11">
        <v>3</v>
      </c>
      <c r="BU43" s="11">
        <v>3</v>
      </c>
      <c r="BV43" s="11">
        <v>5</v>
      </c>
      <c r="BW43" s="11">
        <v>5</v>
      </c>
      <c r="BX43" s="11">
        <v>4</v>
      </c>
      <c r="BY43" s="11">
        <v>4</v>
      </c>
      <c r="BZ43" s="11">
        <v>5</v>
      </c>
      <c r="CA43" s="11">
        <v>5</v>
      </c>
      <c r="CB43" s="11">
        <v>5</v>
      </c>
      <c r="CC43" s="11">
        <v>4</v>
      </c>
      <c r="CD43" s="11">
        <v>5</v>
      </c>
      <c r="CE43" s="9" t="s">
        <v>452</v>
      </c>
      <c r="CF43" s="3">
        <v>19</v>
      </c>
      <c r="CG43" s="3">
        <v>45</v>
      </c>
      <c r="CH43" s="3">
        <v>78</v>
      </c>
      <c r="CI43" s="6">
        <f>COUNTIF(AG43:BB43, "Dispone")/22</f>
        <v>0.86363636363636365</v>
      </c>
      <c r="CJ43" s="7">
        <f>AVERAGE(BC43:BL43)</f>
        <v>4.5</v>
      </c>
      <c r="CK43" s="15">
        <f>AVERAGE(BM43:CD43)</f>
        <v>4.333333333333333</v>
      </c>
      <c r="CL43" s="9" t="str">
        <f>IF(AND(CI43&gt;50%, CJ43&gt;2.5, CK43&gt;2.5), "Compromiso", "")</f>
        <v>Compromiso</v>
      </c>
      <c r="CM43" s="9" t="str">
        <f>IF(AND(CI43&gt;75%, CJ43&gt;4, CK43&gt;4), "Liderazgo", "")</f>
        <v>Liderazgo</v>
      </c>
      <c r="CN43" s="9" t="str">
        <f>IF(AND(CI43&gt;90%, CJ43&gt;4.5, CK43&gt;4.5), "Transformación", "")</f>
        <v/>
      </c>
      <c r="CO43" s="9" t="s">
        <v>103</v>
      </c>
      <c r="CP43" s="3" t="s">
        <v>95</v>
      </c>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row>
    <row r="44" spans="1:155" ht="17.25" customHeight="1" x14ac:dyDescent="0.25">
      <c r="A44" s="12">
        <v>45889.159050925926</v>
      </c>
      <c r="B44" s="12">
        <v>45889.886574074073</v>
      </c>
      <c r="C44" s="9" t="s">
        <v>96</v>
      </c>
      <c r="D44" s="9" t="s">
        <v>560</v>
      </c>
      <c r="E44" s="13">
        <v>62858</v>
      </c>
      <c r="F44" s="9" t="s">
        <v>105</v>
      </c>
      <c r="G44" s="12">
        <v>45889.886594293981</v>
      </c>
      <c r="H44" s="9" t="s">
        <v>561</v>
      </c>
      <c r="I44" s="13">
        <v>-33.452100000000002</v>
      </c>
      <c r="J44" s="13">
        <v>-70.653599999999997</v>
      </c>
      <c r="K44" s="9" t="s">
        <v>98</v>
      </c>
      <c r="L44" s="9" t="s">
        <v>562</v>
      </c>
      <c r="M44" s="3" t="s">
        <v>107</v>
      </c>
      <c r="N44" s="9"/>
      <c r="O44" s="3" t="s">
        <v>907</v>
      </c>
      <c r="P44" s="9"/>
      <c r="Q44" s="9" t="s">
        <v>130</v>
      </c>
      <c r="W44" s="9"/>
      <c r="Y44" s="9"/>
      <c r="AG44" s="3" t="s">
        <v>93</v>
      </c>
      <c r="AH44" s="3" t="s">
        <v>93</v>
      </c>
      <c r="AI44" s="5"/>
      <c r="AJ44" s="9" t="s">
        <v>93</v>
      </c>
      <c r="AK44" s="9" t="s">
        <v>93</v>
      </c>
      <c r="AL44" s="9" t="s">
        <v>93</v>
      </c>
      <c r="AM44" s="9" t="s">
        <v>93</v>
      </c>
      <c r="AN44" s="9" t="s">
        <v>93</v>
      </c>
      <c r="AO44" s="9" t="s">
        <v>93</v>
      </c>
      <c r="AP44" s="9" t="s">
        <v>94</v>
      </c>
      <c r="AQ44" s="9" t="s">
        <v>94</v>
      </c>
      <c r="AR44" s="9" t="s">
        <v>93</v>
      </c>
      <c r="AS44" s="9" t="s">
        <v>93</v>
      </c>
      <c r="AT44" s="9" t="s">
        <v>93</v>
      </c>
      <c r="AU44" s="9" t="s">
        <v>93</v>
      </c>
      <c r="AV44" s="9" t="s">
        <v>93</v>
      </c>
      <c r="AW44" s="9" t="s">
        <v>93</v>
      </c>
      <c r="AX44" s="9" t="s">
        <v>94</v>
      </c>
      <c r="AY44" s="9" t="s">
        <v>93</v>
      </c>
      <c r="AZ44" s="9" t="s">
        <v>93</v>
      </c>
      <c r="BA44" s="9" t="s">
        <v>93</v>
      </c>
      <c r="BB44" s="9" t="s">
        <v>93</v>
      </c>
      <c r="BC44" s="11">
        <v>5</v>
      </c>
      <c r="BD44" s="11">
        <v>5</v>
      </c>
      <c r="BE44" s="11">
        <v>5</v>
      </c>
      <c r="BF44" s="11">
        <v>5</v>
      </c>
      <c r="BG44" s="11">
        <v>5</v>
      </c>
      <c r="BH44" s="11">
        <v>5</v>
      </c>
      <c r="BI44" s="11">
        <v>5</v>
      </c>
      <c r="BJ44" s="11">
        <v>5</v>
      </c>
      <c r="BK44" s="11">
        <v>5</v>
      </c>
      <c r="BL44" s="11">
        <v>5</v>
      </c>
      <c r="BM44" s="11">
        <v>4</v>
      </c>
      <c r="BN44" s="11">
        <v>4</v>
      </c>
      <c r="BO44" s="11">
        <v>4</v>
      </c>
      <c r="BP44" s="11">
        <v>4</v>
      </c>
      <c r="BQ44" s="11">
        <v>4</v>
      </c>
      <c r="BR44" s="11">
        <v>5</v>
      </c>
      <c r="BS44" s="11">
        <v>5</v>
      </c>
      <c r="BT44" s="11">
        <v>5</v>
      </c>
      <c r="BU44" s="11">
        <v>5</v>
      </c>
      <c r="BV44" s="11">
        <v>5</v>
      </c>
      <c r="BW44" s="11">
        <v>4</v>
      </c>
      <c r="BX44" s="11">
        <v>5</v>
      </c>
      <c r="BY44" s="11">
        <v>5</v>
      </c>
      <c r="BZ44" s="11">
        <v>5</v>
      </c>
      <c r="CA44" s="11">
        <v>5</v>
      </c>
      <c r="CB44" s="11">
        <v>4</v>
      </c>
      <c r="CC44" s="11">
        <v>5</v>
      </c>
      <c r="CD44" s="11">
        <v>5</v>
      </c>
      <c r="CE44" s="9"/>
      <c r="CF44" s="3">
        <f>COUNTIF(AG44:BB44, "Dispone")</f>
        <v>18</v>
      </c>
      <c r="CG44" s="3">
        <v>50</v>
      </c>
      <c r="CH44" s="11">
        <f>SUM(BM44:CD44)</f>
        <v>83</v>
      </c>
      <c r="CI44" s="6">
        <f>COUNTIF(AG44:BB44, "Dispone")/22</f>
        <v>0.81818181818181823</v>
      </c>
      <c r="CJ44" s="7">
        <f>AVERAGE(BC44:BL44)</f>
        <v>5</v>
      </c>
      <c r="CK44" s="15">
        <f>AVERAGE(BM44:CD44)</f>
        <v>4.6111111111111107</v>
      </c>
      <c r="CL44" s="9" t="str">
        <f>IF(AND(CI44&gt;50%, CJ44&gt;2.5, CK44&gt;2.5), "Compromiso", "")</f>
        <v>Compromiso</v>
      </c>
      <c r="CM44" s="9" t="str">
        <f>IF(AND(CI44&gt;75%, CJ44&gt;4, CK44&gt;4), "Liderazgo", "")</f>
        <v>Liderazgo</v>
      </c>
      <c r="CN44" s="9" t="str">
        <f>IF(AND(CI44&gt;90%, CJ44&gt;4.5, CK44&gt;4.5), "Transformación", "")</f>
        <v/>
      </c>
      <c r="CO44" s="9" t="s">
        <v>103</v>
      </c>
      <c r="CP44" s="3" t="s">
        <v>95</v>
      </c>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row>
    <row r="45" spans="1:155" ht="17.25" customHeight="1" x14ac:dyDescent="0.25">
      <c r="A45" s="12">
        <v>45898.600104166668</v>
      </c>
      <c r="B45" s="12">
        <v>45898.948530092595</v>
      </c>
      <c r="C45" s="9" t="s">
        <v>96</v>
      </c>
      <c r="D45" s="9" t="s">
        <v>180</v>
      </c>
      <c r="E45" s="13">
        <v>30103</v>
      </c>
      <c r="F45" s="9" t="s">
        <v>105</v>
      </c>
      <c r="G45" s="12">
        <v>45898.948543252314</v>
      </c>
      <c r="H45" s="9" t="s">
        <v>181</v>
      </c>
      <c r="I45" s="13">
        <v>-8.9316999999999993</v>
      </c>
      <c r="J45" s="13">
        <v>-36.516199999999998</v>
      </c>
      <c r="K45" s="9" t="s">
        <v>98</v>
      </c>
      <c r="L45" s="9" t="s">
        <v>182</v>
      </c>
      <c r="M45" s="3" t="s">
        <v>183</v>
      </c>
      <c r="N45" s="9" t="s">
        <v>184</v>
      </c>
      <c r="O45" s="3" t="s">
        <v>926</v>
      </c>
      <c r="P45" s="14" t="s">
        <v>1014</v>
      </c>
      <c r="Q45" s="9" t="s">
        <v>124</v>
      </c>
      <c r="R45" s="3">
        <v>1931</v>
      </c>
      <c r="S45" s="3">
        <v>2965</v>
      </c>
      <c r="T45" s="3">
        <v>42727</v>
      </c>
      <c r="U45" s="3">
        <v>2139</v>
      </c>
      <c r="V45" s="3">
        <v>81</v>
      </c>
      <c r="W45" s="9" t="s">
        <v>173</v>
      </c>
      <c r="X45" s="3">
        <v>0.8</v>
      </c>
      <c r="Y45" s="9" t="s">
        <v>153</v>
      </c>
      <c r="Z45" s="3">
        <v>53</v>
      </c>
      <c r="AA45" s="3">
        <v>9207539</v>
      </c>
      <c r="AB45" s="3">
        <v>2725</v>
      </c>
      <c r="AC45" s="3">
        <v>1</v>
      </c>
      <c r="AD45" s="3">
        <v>242442</v>
      </c>
      <c r="AE45" s="3">
        <v>62</v>
      </c>
      <c r="AF45" s="3">
        <v>86543</v>
      </c>
      <c r="AG45" s="9" t="s">
        <v>93</v>
      </c>
      <c r="AH45" s="9" t="s">
        <v>93</v>
      </c>
      <c r="AI45" s="9" t="s">
        <v>94</v>
      </c>
      <c r="AJ45" s="9" t="s">
        <v>93</v>
      </c>
      <c r="AK45" s="9" t="s">
        <v>93</v>
      </c>
      <c r="AL45" s="9" t="s">
        <v>93</v>
      </c>
      <c r="AM45" s="9" t="s">
        <v>93</v>
      </c>
      <c r="AN45" s="9" t="s">
        <v>93</v>
      </c>
      <c r="AO45" s="9" t="s">
        <v>93</v>
      </c>
      <c r="AP45" s="9" t="s">
        <v>93</v>
      </c>
      <c r="AQ45" s="9" t="s">
        <v>93</v>
      </c>
      <c r="AR45" s="9" t="s">
        <v>93</v>
      </c>
      <c r="AS45" s="9" t="s">
        <v>93</v>
      </c>
      <c r="AT45" s="9" t="s">
        <v>93</v>
      </c>
      <c r="AU45" s="9" t="s">
        <v>93</v>
      </c>
      <c r="AV45" s="9" t="s">
        <v>93</v>
      </c>
      <c r="AW45" s="9" t="s">
        <v>93</v>
      </c>
      <c r="AX45" s="9" t="s">
        <v>94</v>
      </c>
      <c r="AY45" s="9" t="s">
        <v>94</v>
      </c>
      <c r="AZ45" s="9" t="s">
        <v>94</v>
      </c>
      <c r="BA45" s="9" t="s">
        <v>93</v>
      </c>
      <c r="BB45" s="9" t="s">
        <v>93</v>
      </c>
      <c r="BC45" s="11">
        <v>2</v>
      </c>
      <c r="BD45" s="11">
        <v>5</v>
      </c>
      <c r="BE45" s="11">
        <v>3</v>
      </c>
      <c r="BF45" s="11">
        <v>4</v>
      </c>
      <c r="BG45" s="11">
        <v>3</v>
      </c>
      <c r="BH45" s="11">
        <v>3</v>
      </c>
      <c r="BI45" s="11">
        <v>3</v>
      </c>
      <c r="BJ45" s="11">
        <v>2</v>
      </c>
      <c r="BK45" s="11">
        <v>5</v>
      </c>
      <c r="BL45" s="11">
        <v>4</v>
      </c>
      <c r="BM45" s="11">
        <v>5</v>
      </c>
      <c r="BN45" s="11">
        <v>5</v>
      </c>
      <c r="BO45" s="11">
        <v>2</v>
      </c>
      <c r="BP45" s="11">
        <v>5</v>
      </c>
      <c r="BQ45" s="11">
        <v>5</v>
      </c>
      <c r="BR45" s="11">
        <v>5</v>
      </c>
      <c r="BS45" s="11">
        <v>3</v>
      </c>
      <c r="BT45" s="11">
        <v>5</v>
      </c>
      <c r="BU45" s="11">
        <v>4</v>
      </c>
      <c r="BV45" s="11">
        <v>3</v>
      </c>
      <c r="BW45" s="11">
        <v>5</v>
      </c>
      <c r="BX45" s="11">
        <v>2</v>
      </c>
      <c r="BY45" s="11">
        <v>5</v>
      </c>
      <c r="BZ45" s="11">
        <v>5</v>
      </c>
      <c r="CA45" s="11">
        <v>5</v>
      </c>
      <c r="CB45" s="11">
        <v>5</v>
      </c>
      <c r="CC45" s="11">
        <v>5</v>
      </c>
      <c r="CD45" s="11">
        <v>5</v>
      </c>
      <c r="CE45" s="9" t="s">
        <v>185</v>
      </c>
      <c r="CF45" s="3">
        <v>18</v>
      </c>
      <c r="CG45" s="3">
        <v>34</v>
      </c>
      <c r="CH45" s="3">
        <v>79</v>
      </c>
      <c r="CI45" s="6">
        <f>COUNTIF(AG45:BB45, "Dispone")/22</f>
        <v>0.81818181818181823</v>
      </c>
      <c r="CJ45" s="7">
        <f>AVERAGE(BC45:BL45)</f>
        <v>3.4</v>
      </c>
      <c r="CK45" s="15">
        <f>AVERAGE(BM45:CD45)</f>
        <v>4.3888888888888893</v>
      </c>
      <c r="CL45" s="9" t="str">
        <f>IF(AND(CI45&gt;50%, CJ45&gt;2.5, CK45&gt;2.5), "Compromiso", "")</f>
        <v>Compromiso</v>
      </c>
      <c r="CM45" s="9" t="str">
        <f>IF(AND(CI45&gt;75%, CJ45&gt;4, CK45&gt;4), "Liderazgo", "")</f>
        <v/>
      </c>
      <c r="CN45" s="9" t="str">
        <f>IF(AND(CI45&gt;90%, CJ45&gt;4.5, CK45&gt;4.5), "Transformación", "")</f>
        <v/>
      </c>
      <c r="CO45" s="9" t="s">
        <v>95</v>
      </c>
      <c r="CP45" s="3" t="s">
        <v>103</v>
      </c>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row>
    <row r="46" spans="1:155" ht="17.25" customHeight="1" x14ac:dyDescent="0.25">
      <c r="A46" s="16">
        <v>45960.761805555558</v>
      </c>
      <c r="B46" s="16">
        <v>45961.063194444447</v>
      </c>
      <c r="C46" s="3" t="s">
        <v>96</v>
      </c>
      <c r="D46" s="3" t="s">
        <v>414</v>
      </c>
      <c r="E46" s="3">
        <v>26053</v>
      </c>
      <c r="F46" s="3" t="b">
        <v>1</v>
      </c>
      <c r="G46" s="16">
        <v>45961.063194444447</v>
      </c>
      <c r="H46" s="3" t="s">
        <v>415</v>
      </c>
      <c r="I46" s="3">
        <v>-12.045999999999999</v>
      </c>
      <c r="J46" s="3">
        <v>-77.030500000000004</v>
      </c>
      <c r="K46" s="3" t="s">
        <v>98</v>
      </c>
      <c r="L46" s="3" t="s">
        <v>416</v>
      </c>
      <c r="M46" s="3" t="s">
        <v>107</v>
      </c>
      <c r="O46" s="3" t="s">
        <v>911</v>
      </c>
      <c r="Q46" s="3" t="s">
        <v>130</v>
      </c>
      <c r="AG46" s="3" t="s">
        <v>94</v>
      </c>
      <c r="AH46" s="3" t="s">
        <v>93</v>
      </c>
      <c r="AI46" s="5"/>
      <c r="AJ46" s="3" t="s">
        <v>93</v>
      </c>
      <c r="AK46" s="3" t="s">
        <v>94</v>
      </c>
      <c r="AL46" s="3" t="s">
        <v>93</v>
      </c>
      <c r="AM46" s="3" t="s">
        <v>93</v>
      </c>
      <c r="AN46" s="3" t="s">
        <v>93</v>
      </c>
      <c r="AO46" s="3" t="s">
        <v>93</v>
      </c>
      <c r="AP46" s="3" t="s">
        <v>94</v>
      </c>
      <c r="AQ46" s="3" t="s">
        <v>94</v>
      </c>
      <c r="AR46" s="3" t="s">
        <v>93</v>
      </c>
      <c r="AS46" s="3" t="s">
        <v>94</v>
      </c>
      <c r="AT46" s="3" t="s">
        <v>94</v>
      </c>
      <c r="AU46" s="3" t="s">
        <v>94</v>
      </c>
      <c r="AV46" s="3" t="s">
        <v>93</v>
      </c>
      <c r="AW46" s="3" t="s">
        <v>93</v>
      </c>
      <c r="AX46" s="3" t="s">
        <v>94</v>
      </c>
      <c r="AY46" s="3" t="s">
        <v>93</v>
      </c>
      <c r="AZ46" s="3" t="s">
        <v>93</v>
      </c>
      <c r="BA46" s="3" t="s">
        <v>93</v>
      </c>
      <c r="BB46" s="3" t="s">
        <v>93</v>
      </c>
      <c r="BC46" s="3">
        <v>2</v>
      </c>
      <c r="BD46" s="3">
        <v>4</v>
      </c>
      <c r="BE46" s="3">
        <v>2</v>
      </c>
      <c r="BF46" s="3">
        <v>3</v>
      </c>
      <c r="BG46" s="3">
        <v>3</v>
      </c>
      <c r="BH46" s="3">
        <v>4</v>
      </c>
      <c r="BI46" s="3">
        <v>2</v>
      </c>
      <c r="BJ46" s="3">
        <v>4</v>
      </c>
      <c r="BK46" s="3">
        <v>3</v>
      </c>
      <c r="BL46" s="3">
        <v>4</v>
      </c>
      <c r="BM46" s="3">
        <v>5</v>
      </c>
      <c r="BN46" s="3">
        <v>2</v>
      </c>
      <c r="BO46" s="3">
        <v>3</v>
      </c>
      <c r="BP46" s="3">
        <v>4</v>
      </c>
      <c r="BQ46" s="3">
        <v>2</v>
      </c>
      <c r="BR46" s="3">
        <v>1</v>
      </c>
      <c r="BS46" s="3">
        <v>2</v>
      </c>
      <c r="BT46" s="3">
        <v>4</v>
      </c>
      <c r="BU46" s="3">
        <v>2</v>
      </c>
      <c r="BV46" s="3">
        <v>2</v>
      </c>
      <c r="BW46" s="3">
        <v>3</v>
      </c>
      <c r="BX46" s="3">
        <v>4</v>
      </c>
      <c r="BY46" s="3">
        <v>4</v>
      </c>
      <c r="BZ46" s="3">
        <v>4</v>
      </c>
      <c r="CA46" s="3">
        <v>5</v>
      </c>
      <c r="CB46" s="3">
        <v>5</v>
      </c>
      <c r="CC46" s="3">
        <v>3</v>
      </c>
      <c r="CD46" s="3">
        <v>5</v>
      </c>
      <c r="CF46" s="3">
        <f>COUNTIF(AG46:BB46, "Dispone")</f>
        <v>13</v>
      </c>
      <c r="CG46" s="3">
        <v>31</v>
      </c>
      <c r="CH46" s="3">
        <f>SUM(BM46:CD46)</f>
        <v>60</v>
      </c>
      <c r="CI46" s="6">
        <f>COUNTIF(AG46:BB46, "Dispone")/22</f>
        <v>0.59090909090909094</v>
      </c>
      <c r="CJ46" s="7">
        <f>AVERAGE(BC46:BL46)</f>
        <v>3.1</v>
      </c>
      <c r="CK46" s="8">
        <f>AVERAGE(BM46:CD46)</f>
        <v>3.3333333333333335</v>
      </c>
      <c r="CL46" s="9" t="str">
        <f>IF(AND(CI46&gt;50%, CJ46&gt;2.5, CK46&gt;2.5), "Compromiso", "")</f>
        <v>Compromiso</v>
      </c>
      <c r="CM46" s="9" t="str">
        <f>IF(AND(CI46&gt;75%, CJ46&gt;4, CK46&gt;4), "Liderazgo", "")</f>
        <v/>
      </c>
      <c r="CN46" s="9" t="str">
        <f>IF(AND(CI46&gt;90%, CJ46&gt;4.5, CK46&gt;4.5), "Transformación", "")</f>
        <v/>
      </c>
      <c r="CO46" s="9" t="s">
        <v>95</v>
      </c>
      <c r="CP46" s="3" t="s">
        <v>95</v>
      </c>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row>
    <row r="47" spans="1:155" ht="17.25" customHeight="1" x14ac:dyDescent="0.25">
      <c r="A47" s="12">
        <v>45896.61042824074</v>
      </c>
      <c r="B47" s="12">
        <v>45896.898009259261</v>
      </c>
      <c r="C47" s="9" t="s">
        <v>96</v>
      </c>
      <c r="D47" s="9" t="s">
        <v>386</v>
      </c>
      <c r="E47" s="13">
        <v>24847</v>
      </c>
      <c r="F47" s="9" t="s">
        <v>105</v>
      </c>
      <c r="G47" s="12">
        <v>45896.898023229165</v>
      </c>
      <c r="H47" s="9" t="s">
        <v>387</v>
      </c>
      <c r="I47" s="13">
        <v>-33.134300000000003</v>
      </c>
      <c r="J47" s="13">
        <v>-64.351299999999995</v>
      </c>
      <c r="K47" s="9" t="s">
        <v>98</v>
      </c>
      <c r="L47" s="9" t="s">
        <v>388</v>
      </c>
      <c r="M47" s="3" t="s">
        <v>882</v>
      </c>
      <c r="N47" s="9" t="s">
        <v>389</v>
      </c>
      <c r="O47" s="3" t="s">
        <v>927</v>
      </c>
      <c r="P47" s="9" t="s">
        <v>390</v>
      </c>
      <c r="Q47" s="9" t="s">
        <v>231</v>
      </c>
      <c r="R47" s="3">
        <v>1962</v>
      </c>
      <c r="S47" s="3">
        <v>624</v>
      </c>
      <c r="T47" s="3">
        <v>7495</v>
      </c>
      <c r="U47" s="3">
        <v>3683</v>
      </c>
      <c r="V47" s="3">
        <v>3683</v>
      </c>
      <c r="W47" s="9" t="s">
        <v>91</v>
      </c>
      <c r="X47" s="3">
        <v>16</v>
      </c>
      <c r="Y47" s="9" t="s">
        <v>153</v>
      </c>
      <c r="Z47" s="3">
        <v>14</v>
      </c>
      <c r="AA47" s="3">
        <v>515850</v>
      </c>
      <c r="AB47" s="3">
        <v>0</v>
      </c>
      <c r="AC47" s="3">
        <v>0</v>
      </c>
      <c r="AD47" s="3">
        <v>23529</v>
      </c>
      <c r="AE47" s="3">
        <v>29000</v>
      </c>
      <c r="AF47" s="3">
        <v>336.4</v>
      </c>
      <c r="AG47" s="9" t="s">
        <v>94</v>
      </c>
      <c r="AH47" s="9" t="s">
        <v>93</v>
      </c>
      <c r="AI47" s="9" t="s">
        <v>94</v>
      </c>
      <c r="AJ47" s="9" t="s">
        <v>93</v>
      </c>
      <c r="AK47" s="9" t="s">
        <v>93</v>
      </c>
      <c r="AL47" s="9" t="s">
        <v>93</v>
      </c>
      <c r="AM47" s="9" t="s">
        <v>93</v>
      </c>
      <c r="AN47" s="9" t="s">
        <v>93</v>
      </c>
      <c r="AO47" s="9" t="s">
        <v>93</v>
      </c>
      <c r="AP47" s="9" t="s">
        <v>93</v>
      </c>
      <c r="AQ47" s="9" t="s">
        <v>93</v>
      </c>
      <c r="AR47" s="9" t="s">
        <v>93</v>
      </c>
      <c r="AS47" s="9" t="s">
        <v>93</v>
      </c>
      <c r="AT47" s="9" t="s">
        <v>94</v>
      </c>
      <c r="AU47" s="9" t="s">
        <v>93</v>
      </c>
      <c r="AV47" s="9" t="s">
        <v>94</v>
      </c>
      <c r="AW47" s="9" t="s">
        <v>93</v>
      </c>
      <c r="AX47" s="9" t="s">
        <v>93</v>
      </c>
      <c r="AY47" s="9" t="s">
        <v>93</v>
      </c>
      <c r="AZ47" s="9" t="s">
        <v>93</v>
      </c>
      <c r="BA47" s="9" t="s">
        <v>93</v>
      </c>
      <c r="BB47" s="9" t="s">
        <v>93</v>
      </c>
      <c r="BC47" s="11">
        <v>3</v>
      </c>
      <c r="BD47" s="11">
        <v>3</v>
      </c>
      <c r="BE47" s="11">
        <v>2</v>
      </c>
      <c r="BF47" s="11">
        <v>3</v>
      </c>
      <c r="BG47" s="11">
        <v>3</v>
      </c>
      <c r="BH47" s="11">
        <v>4</v>
      </c>
      <c r="BI47" s="11">
        <v>4</v>
      </c>
      <c r="BJ47" s="11">
        <v>5</v>
      </c>
      <c r="BK47" s="11">
        <v>5</v>
      </c>
      <c r="BL47" s="11">
        <v>4</v>
      </c>
      <c r="BM47" s="11">
        <v>5</v>
      </c>
      <c r="BN47" s="11">
        <v>5</v>
      </c>
      <c r="BO47" s="11">
        <v>5</v>
      </c>
      <c r="BP47" s="11">
        <v>5</v>
      </c>
      <c r="BQ47" s="11">
        <v>5</v>
      </c>
      <c r="BR47" s="11">
        <v>5</v>
      </c>
      <c r="BS47" s="11">
        <v>5</v>
      </c>
      <c r="BT47" s="11">
        <v>5</v>
      </c>
      <c r="BU47" s="11">
        <v>5</v>
      </c>
      <c r="BV47" s="11">
        <v>5</v>
      </c>
      <c r="BW47" s="11">
        <v>5</v>
      </c>
      <c r="BX47" s="11">
        <v>5</v>
      </c>
      <c r="BY47" s="11">
        <v>5</v>
      </c>
      <c r="BZ47" s="11">
        <v>5</v>
      </c>
      <c r="CA47" s="11">
        <v>5</v>
      </c>
      <c r="CB47" s="11">
        <v>5</v>
      </c>
      <c r="CC47" s="11">
        <v>5</v>
      </c>
      <c r="CD47" s="11">
        <v>5</v>
      </c>
      <c r="CE47" s="9"/>
      <c r="CF47" s="3">
        <v>18</v>
      </c>
      <c r="CG47" s="3">
        <v>36</v>
      </c>
      <c r="CH47" s="3">
        <v>90</v>
      </c>
      <c r="CI47" s="6">
        <f>COUNTIF(AG47:BB47, "Dispone")/22</f>
        <v>0.81818181818181823</v>
      </c>
      <c r="CJ47" s="7">
        <f>AVERAGE(BC47:BL47)</f>
        <v>3.6</v>
      </c>
      <c r="CK47" s="15">
        <f>AVERAGE(BM47:CD47)</f>
        <v>5</v>
      </c>
      <c r="CL47" s="9" t="str">
        <f>IF(AND(CI47&gt;50%, CJ47&gt;2.5, CK47&gt;2.5), "Compromiso", "")</f>
        <v>Compromiso</v>
      </c>
      <c r="CM47" s="9" t="str">
        <f>IF(AND(CI47&gt;75%, CJ47&gt;4, CK47&gt;4), "Liderazgo", "")</f>
        <v/>
      </c>
      <c r="CN47" s="9" t="str">
        <f>IF(AND(CI47&gt;90%, CJ47&gt;4.5, CK47&gt;4.5), "Transformación", "")</f>
        <v/>
      </c>
      <c r="CO47" s="9" t="s">
        <v>95</v>
      </c>
      <c r="CP47" s="3" t="s">
        <v>95</v>
      </c>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row>
    <row r="48" spans="1:155" ht="17.25" customHeight="1" x14ac:dyDescent="0.25">
      <c r="A48" s="16">
        <v>45957.675000000003</v>
      </c>
      <c r="B48" s="16">
        <v>45957.951388888891</v>
      </c>
      <c r="C48" s="3" t="s">
        <v>96</v>
      </c>
      <c r="D48" s="3" t="s">
        <v>731</v>
      </c>
      <c r="E48" s="3">
        <v>23867</v>
      </c>
      <c r="F48" s="3" t="b">
        <v>1</v>
      </c>
      <c r="G48" s="16">
        <v>45957.951388888891</v>
      </c>
      <c r="H48" s="3" t="s">
        <v>732</v>
      </c>
      <c r="I48" s="3">
        <v>25.744199999999999</v>
      </c>
      <c r="J48" s="3">
        <v>-100.31</v>
      </c>
      <c r="K48" s="3" t="s">
        <v>98</v>
      </c>
      <c r="L48" s="3" t="s">
        <v>733</v>
      </c>
      <c r="M48" s="3" t="s">
        <v>734</v>
      </c>
      <c r="N48" s="3" t="s">
        <v>735</v>
      </c>
      <c r="O48" s="3" t="s">
        <v>928</v>
      </c>
      <c r="P48" s="3" t="s">
        <v>736</v>
      </c>
      <c r="Q48" s="3" t="s">
        <v>231</v>
      </c>
      <c r="R48" s="3">
        <v>2003</v>
      </c>
      <c r="S48" s="3">
        <v>727</v>
      </c>
      <c r="T48" s="3">
        <v>21814</v>
      </c>
      <c r="U48" s="3">
        <v>2316</v>
      </c>
      <c r="V48" s="3">
        <v>0</v>
      </c>
      <c r="W48" s="3" t="s">
        <v>91</v>
      </c>
      <c r="X48" s="3">
        <v>0.18</v>
      </c>
      <c r="Y48" s="3" t="s">
        <v>92</v>
      </c>
      <c r="Z48" s="3">
        <v>6</v>
      </c>
      <c r="AA48" s="3">
        <v>351737</v>
      </c>
      <c r="AB48" s="3">
        <v>0</v>
      </c>
      <c r="AC48" s="3">
        <v>60</v>
      </c>
      <c r="AD48" s="3">
        <v>10722</v>
      </c>
      <c r="AE48" s="3">
        <v>10</v>
      </c>
      <c r="AF48" s="17">
        <v>1875.49</v>
      </c>
      <c r="AG48" s="9" t="s">
        <v>94</v>
      </c>
      <c r="AH48" s="3" t="s">
        <v>93</v>
      </c>
      <c r="AI48" s="3" t="s">
        <v>94</v>
      </c>
      <c r="AJ48" s="3" t="s">
        <v>93</v>
      </c>
      <c r="AK48" s="3" t="s">
        <v>94</v>
      </c>
      <c r="AL48" s="3" t="s">
        <v>93</v>
      </c>
      <c r="AM48" s="3" t="s">
        <v>93</v>
      </c>
      <c r="AN48" s="3" t="s">
        <v>93</v>
      </c>
      <c r="AO48" s="3" t="s">
        <v>93</v>
      </c>
      <c r="AP48" s="3" t="s">
        <v>93</v>
      </c>
      <c r="AQ48" s="3" t="s">
        <v>94</v>
      </c>
      <c r="AR48" s="3" t="s">
        <v>94</v>
      </c>
      <c r="AS48" s="3" t="s">
        <v>93</v>
      </c>
      <c r="AT48" s="3" t="s">
        <v>94</v>
      </c>
      <c r="AU48" s="3" t="s">
        <v>94</v>
      </c>
      <c r="AV48" s="3" t="s">
        <v>93</v>
      </c>
      <c r="AW48" s="3" t="s">
        <v>93</v>
      </c>
      <c r="AX48" s="3" t="s">
        <v>94</v>
      </c>
      <c r="AY48" s="3" t="s">
        <v>94</v>
      </c>
      <c r="AZ48" s="3" t="s">
        <v>93</v>
      </c>
      <c r="BA48" s="3" t="s">
        <v>93</v>
      </c>
      <c r="BB48" s="3" t="s">
        <v>93</v>
      </c>
      <c r="BC48" s="11">
        <v>2</v>
      </c>
      <c r="BD48" s="11">
        <v>2</v>
      </c>
      <c r="BE48" s="11">
        <v>2</v>
      </c>
      <c r="BF48" s="11">
        <v>2</v>
      </c>
      <c r="BG48" s="11">
        <v>2</v>
      </c>
      <c r="BH48" s="11">
        <v>3</v>
      </c>
      <c r="BI48" s="11">
        <v>3</v>
      </c>
      <c r="BJ48" s="11">
        <v>3</v>
      </c>
      <c r="BK48" s="11">
        <v>3</v>
      </c>
      <c r="BL48" s="11">
        <v>2</v>
      </c>
      <c r="BM48" s="11">
        <v>4</v>
      </c>
      <c r="BN48" s="11">
        <v>4</v>
      </c>
      <c r="BO48" s="11">
        <v>3</v>
      </c>
      <c r="BP48" s="11">
        <v>2</v>
      </c>
      <c r="BQ48" s="11">
        <v>3</v>
      </c>
      <c r="BR48" s="11">
        <v>3</v>
      </c>
      <c r="BS48" s="11">
        <v>3</v>
      </c>
      <c r="BT48" s="11">
        <v>2</v>
      </c>
      <c r="BU48" s="11">
        <v>4</v>
      </c>
      <c r="BV48" s="11">
        <v>4</v>
      </c>
      <c r="BW48" s="11">
        <v>3</v>
      </c>
      <c r="BX48" s="11">
        <v>3</v>
      </c>
      <c r="BY48" s="11">
        <v>3</v>
      </c>
      <c r="BZ48" s="11">
        <v>4</v>
      </c>
      <c r="CA48" s="11">
        <v>4</v>
      </c>
      <c r="CB48" s="11">
        <v>4</v>
      </c>
      <c r="CC48" s="11">
        <v>4</v>
      </c>
      <c r="CD48" s="11">
        <v>4</v>
      </c>
      <c r="CE48" s="3" t="s">
        <v>737</v>
      </c>
      <c r="CF48" s="3">
        <v>13</v>
      </c>
      <c r="CG48" s="3">
        <v>24</v>
      </c>
      <c r="CH48" s="3">
        <v>61</v>
      </c>
      <c r="CI48" s="6">
        <f>COUNTIF(AG48:BB48, "Dispone")/22</f>
        <v>0.59090909090909094</v>
      </c>
      <c r="CJ48" s="7">
        <f>AVERAGE(BC48:BL48)</f>
        <v>2.4</v>
      </c>
      <c r="CK48" s="15">
        <f>AVERAGE(BM48:CD48)</f>
        <v>3.3888888888888888</v>
      </c>
      <c r="CL48" s="9" t="str">
        <f>IF(AND(CI48&gt;50%, CJ48&gt;2.5, CK48&gt;2.5), "Compromiso", "")</f>
        <v/>
      </c>
      <c r="CM48" s="9" t="str">
        <f>IF(AND(CI48&gt;75%, CJ48&gt;4, CK48&gt;4), "Liderazgo", "")</f>
        <v/>
      </c>
      <c r="CN48" s="9" t="str">
        <f>IF(AND(CI48&gt;90%, CJ48&gt;4.5, CK48&gt;4.5), "Transformación", "")</f>
        <v/>
      </c>
      <c r="CO48" s="9" t="s">
        <v>581</v>
      </c>
      <c r="CP48" s="3" t="s">
        <v>146</v>
      </c>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row>
    <row r="49" spans="1:155" ht="17.25" customHeight="1" x14ac:dyDescent="0.25">
      <c r="A49" s="16">
        <v>45961.814583333333</v>
      </c>
      <c r="B49" s="10">
        <v>45962.088194444441</v>
      </c>
      <c r="C49" s="3" t="s">
        <v>96</v>
      </c>
      <c r="D49" s="3" t="s">
        <v>247</v>
      </c>
      <c r="E49" s="3">
        <v>23643</v>
      </c>
      <c r="F49" s="3" t="b">
        <v>1</v>
      </c>
      <c r="G49" s="10">
        <v>45962.088194444441</v>
      </c>
      <c r="H49" s="3" t="s">
        <v>840</v>
      </c>
      <c r="I49" s="3">
        <v>19.653700000000001</v>
      </c>
      <c r="J49" s="3">
        <v>-99.219300000000004</v>
      </c>
      <c r="K49" s="3" t="s">
        <v>98</v>
      </c>
      <c r="L49" s="3" t="s">
        <v>841</v>
      </c>
      <c r="M49" s="3" t="s">
        <v>842</v>
      </c>
      <c r="N49" s="3" t="s">
        <v>843</v>
      </c>
      <c r="O49" s="3" t="s">
        <v>929</v>
      </c>
      <c r="P49" s="3">
        <v>985181900</v>
      </c>
      <c r="Q49" s="3" t="s">
        <v>130</v>
      </c>
      <c r="R49" s="3">
        <v>1608</v>
      </c>
      <c r="S49" s="3">
        <v>3226</v>
      </c>
      <c r="T49" s="3">
        <v>20631</v>
      </c>
      <c r="U49" s="3">
        <v>75</v>
      </c>
      <c r="V49" s="3">
        <v>75</v>
      </c>
      <c r="W49" s="3" t="s">
        <v>118</v>
      </c>
      <c r="X49" s="3">
        <v>4.7</v>
      </c>
      <c r="Y49" s="3" t="s">
        <v>92</v>
      </c>
      <c r="Z49" s="3">
        <v>58</v>
      </c>
      <c r="AA49" s="3">
        <v>28390773</v>
      </c>
      <c r="AB49" s="3">
        <v>2986</v>
      </c>
      <c r="AC49" s="3">
        <v>85</v>
      </c>
      <c r="AD49" s="17">
        <v>72263</v>
      </c>
      <c r="AE49" s="3">
        <v>40</v>
      </c>
      <c r="AF49" s="3">
        <v>44554754</v>
      </c>
      <c r="AG49" s="3" t="s">
        <v>93</v>
      </c>
      <c r="AH49" s="3" t="s">
        <v>93</v>
      </c>
      <c r="AI49" s="3" t="s">
        <v>94</v>
      </c>
      <c r="AJ49" s="3" t="s">
        <v>93</v>
      </c>
      <c r="AK49" s="3" t="s">
        <v>93</v>
      </c>
      <c r="AL49" s="3" t="s">
        <v>93</v>
      </c>
      <c r="AM49" s="3" t="s">
        <v>93</v>
      </c>
      <c r="AN49" s="3" t="s">
        <v>93</v>
      </c>
      <c r="AO49" s="3" t="s">
        <v>93</v>
      </c>
      <c r="AP49" s="3" t="s">
        <v>93</v>
      </c>
      <c r="AQ49" s="3" t="s">
        <v>93</v>
      </c>
      <c r="AR49" s="3" t="s">
        <v>93</v>
      </c>
      <c r="AS49" s="3" t="s">
        <v>93</v>
      </c>
      <c r="AT49" s="3" t="s">
        <v>93</v>
      </c>
      <c r="AU49" s="3" t="s">
        <v>93</v>
      </c>
      <c r="AV49" s="3" t="s">
        <v>93</v>
      </c>
      <c r="AW49" s="3" t="s">
        <v>93</v>
      </c>
      <c r="AX49" s="3" t="s">
        <v>94</v>
      </c>
      <c r="AY49" s="3" t="s">
        <v>93</v>
      </c>
      <c r="AZ49" s="3" t="s">
        <v>93</v>
      </c>
      <c r="BA49" s="3" t="s">
        <v>93</v>
      </c>
      <c r="BB49" s="3" t="s">
        <v>93</v>
      </c>
      <c r="BC49" s="3">
        <v>5</v>
      </c>
      <c r="BD49" s="3">
        <v>5</v>
      </c>
      <c r="BE49" s="3">
        <v>5</v>
      </c>
      <c r="BF49" s="3">
        <v>5</v>
      </c>
      <c r="BG49" s="3">
        <v>5</v>
      </c>
      <c r="BH49" s="3">
        <v>5</v>
      </c>
      <c r="BI49" s="3">
        <v>4</v>
      </c>
      <c r="BJ49" s="3">
        <v>5</v>
      </c>
      <c r="BK49" s="3">
        <v>5</v>
      </c>
      <c r="BL49" s="3">
        <v>5</v>
      </c>
      <c r="BM49" s="3">
        <v>5</v>
      </c>
      <c r="BN49" s="3">
        <v>5</v>
      </c>
      <c r="BO49" s="3">
        <v>5</v>
      </c>
      <c r="BP49" s="3">
        <v>5</v>
      </c>
      <c r="BQ49" s="3">
        <v>5</v>
      </c>
      <c r="BR49" s="3">
        <v>5</v>
      </c>
      <c r="BS49" s="3">
        <v>5</v>
      </c>
      <c r="BT49" s="3">
        <v>5</v>
      </c>
      <c r="BU49" s="3">
        <v>5</v>
      </c>
      <c r="BV49" s="3">
        <v>5</v>
      </c>
      <c r="BW49" s="3">
        <v>5</v>
      </c>
      <c r="BX49" s="3">
        <v>5</v>
      </c>
      <c r="BY49" s="3">
        <v>5</v>
      </c>
      <c r="BZ49" s="3">
        <v>5</v>
      </c>
      <c r="CA49" s="3">
        <v>5</v>
      </c>
      <c r="CB49" s="3">
        <v>5</v>
      </c>
      <c r="CC49" s="3">
        <v>5</v>
      </c>
      <c r="CD49" s="3">
        <v>5</v>
      </c>
      <c r="CF49" s="3">
        <v>20</v>
      </c>
      <c r="CG49" s="3">
        <v>49</v>
      </c>
      <c r="CH49" s="3">
        <v>90</v>
      </c>
      <c r="CI49" s="6">
        <f>COUNTIF(AG49:BB49, "Dispone")/22</f>
        <v>0.90909090909090906</v>
      </c>
      <c r="CJ49" s="7">
        <f>AVERAGE(BC49:BL49)</f>
        <v>4.9000000000000004</v>
      </c>
      <c r="CK49" s="15">
        <f>AVERAGE(BM49:CD49)</f>
        <v>5</v>
      </c>
      <c r="CL49" s="9" t="str">
        <f>IF(AND(CI49&gt;50%, CJ49&gt;2.5, CK49&gt;2.5), "Compromiso", "")</f>
        <v>Compromiso</v>
      </c>
      <c r="CM49" s="9" t="str">
        <f>IF(AND(CI49&gt;75%, CJ49&gt;4, CK49&gt;4), "Liderazgo", "")</f>
        <v>Liderazgo</v>
      </c>
      <c r="CN49" s="9" t="str">
        <f>IF(AND(CI49&gt;90%, CJ49&gt;4.5, CK49&gt;4.5), "Transformación", "")</f>
        <v>Transformación</v>
      </c>
      <c r="CO49" s="9" t="s">
        <v>132</v>
      </c>
      <c r="CP49" s="3" t="s">
        <v>95</v>
      </c>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row>
    <row r="50" spans="1:155" ht="17.25" customHeight="1" x14ac:dyDescent="0.25">
      <c r="A50" s="12">
        <v>45932.709606481483</v>
      </c>
      <c r="B50" s="12">
        <v>45932.918680555558</v>
      </c>
      <c r="C50" s="9" t="s">
        <v>96</v>
      </c>
      <c r="D50" s="9" t="s">
        <v>767</v>
      </c>
      <c r="E50" s="13">
        <v>18064</v>
      </c>
      <c r="F50" s="9" t="s">
        <v>105</v>
      </c>
      <c r="G50" s="12">
        <v>45932.918698136571</v>
      </c>
      <c r="H50" s="9" t="s">
        <v>768</v>
      </c>
      <c r="I50" s="13">
        <v>-12.045999999999999</v>
      </c>
      <c r="J50" s="13">
        <v>-77.030500000000004</v>
      </c>
      <c r="K50" s="9" t="s">
        <v>98</v>
      </c>
      <c r="L50" s="9" t="s">
        <v>769</v>
      </c>
      <c r="M50" s="3" t="s">
        <v>770</v>
      </c>
      <c r="N50" s="9" t="s">
        <v>771</v>
      </c>
      <c r="O50" s="3" t="s">
        <v>930</v>
      </c>
      <c r="P50" s="14" t="s">
        <v>1015</v>
      </c>
      <c r="Q50" s="9" t="s">
        <v>124</v>
      </c>
      <c r="R50" s="3">
        <v>1842</v>
      </c>
      <c r="S50" s="3">
        <v>16779</v>
      </c>
      <c r="T50" s="3">
        <v>47307</v>
      </c>
      <c r="U50" s="3">
        <v>0</v>
      </c>
      <c r="V50" s="3">
        <v>0</v>
      </c>
      <c r="W50" s="9" t="s">
        <v>118</v>
      </c>
      <c r="X50" s="3">
        <v>0</v>
      </c>
      <c r="Y50" s="9" t="s">
        <v>92</v>
      </c>
      <c r="Z50" s="3">
        <v>21</v>
      </c>
      <c r="AA50" s="3">
        <v>0</v>
      </c>
      <c r="AB50" s="3">
        <v>0</v>
      </c>
      <c r="AC50" s="3">
        <v>0</v>
      </c>
      <c r="AD50" s="3">
        <v>0</v>
      </c>
      <c r="AE50" s="3">
        <v>142</v>
      </c>
      <c r="AF50" s="3">
        <v>0</v>
      </c>
      <c r="AG50" s="9" t="s">
        <v>93</v>
      </c>
      <c r="AH50" s="9" t="s">
        <v>93</v>
      </c>
      <c r="AI50" s="9" t="s">
        <v>94</v>
      </c>
      <c r="AJ50" s="9" t="s">
        <v>93</v>
      </c>
      <c r="AK50" s="9" t="s">
        <v>93</v>
      </c>
      <c r="AL50" s="9" t="s">
        <v>93</v>
      </c>
      <c r="AM50" s="9" t="s">
        <v>93</v>
      </c>
      <c r="AN50" s="9" t="s">
        <v>93</v>
      </c>
      <c r="AO50" s="9" t="s">
        <v>93</v>
      </c>
      <c r="AP50" s="9" t="s">
        <v>93</v>
      </c>
      <c r="AQ50" s="9" t="s">
        <v>93</v>
      </c>
      <c r="AR50" s="9" t="s">
        <v>93</v>
      </c>
      <c r="AS50" s="9" t="s">
        <v>93</v>
      </c>
      <c r="AT50" s="9" t="s">
        <v>94</v>
      </c>
      <c r="AU50" s="9" t="s">
        <v>93</v>
      </c>
      <c r="AV50" s="9" t="s">
        <v>93</v>
      </c>
      <c r="AW50" s="9" t="s">
        <v>94</v>
      </c>
      <c r="AX50" s="9" t="s">
        <v>94</v>
      </c>
      <c r="AY50" s="9" t="s">
        <v>93</v>
      </c>
      <c r="AZ50" s="9" t="s">
        <v>93</v>
      </c>
      <c r="BA50" s="9" t="s">
        <v>93</v>
      </c>
      <c r="BB50" s="9" t="s">
        <v>93</v>
      </c>
      <c r="BC50" s="11">
        <v>2</v>
      </c>
      <c r="BD50" s="11">
        <v>2</v>
      </c>
      <c r="BE50" s="11">
        <v>2</v>
      </c>
      <c r="BF50" s="11">
        <v>2</v>
      </c>
      <c r="BG50" s="11">
        <v>2</v>
      </c>
      <c r="BH50" s="11">
        <v>2</v>
      </c>
      <c r="BI50" s="11">
        <v>2</v>
      </c>
      <c r="BJ50" s="11">
        <v>3</v>
      </c>
      <c r="BK50" s="11">
        <v>2</v>
      </c>
      <c r="BL50" s="11">
        <v>2</v>
      </c>
      <c r="BM50" s="11">
        <v>5</v>
      </c>
      <c r="BN50" s="11">
        <v>5</v>
      </c>
      <c r="BO50" s="11">
        <v>5</v>
      </c>
      <c r="BP50" s="11">
        <v>4</v>
      </c>
      <c r="BQ50" s="11">
        <v>5</v>
      </c>
      <c r="BR50" s="11">
        <v>5</v>
      </c>
      <c r="BS50" s="11">
        <v>5</v>
      </c>
      <c r="BT50" s="11">
        <v>5</v>
      </c>
      <c r="BU50" s="11">
        <v>3</v>
      </c>
      <c r="BV50" s="11">
        <v>2</v>
      </c>
      <c r="BW50" s="11">
        <v>4</v>
      </c>
      <c r="BX50" s="11">
        <v>3</v>
      </c>
      <c r="BY50" s="11">
        <v>5</v>
      </c>
      <c r="BZ50" s="11">
        <v>5</v>
      </c>
      <c r="CA50" s="11">
        <v>5</v>
      </c>
      <c r="CB50" s="11">
        <v>5</v>
      </c>
      <c r="CC50" s="11">
        <v>5</v>
      </c>
      <c r="CD50" s="11">
        <v>5</v>
      </c>
      <c r="CE50" s="9" t="s">
        <v>772</v>
      </c>
      <c r="CF50" s="3">
        <v>18</v>
      </c>
      <c r="CG50" s="3">
        <v>21</v>
      </c>
      <c r="CH50" s="3">
        <v>81</v>
      </c>
      <c r="CI50" s="6">
        <f>COUNTIF(AG50:BB50, "Dispone")/22</f>
        <v>0.81818181818181823</v>
      </c>
      <c r="CJ50" s="7">
        <f>AVERAGE(BC50:BL50)</f>
        <v>2.1</v>
      </c>
      <c r="CK50" s="15">
        <f>AVERAGE(BM50:CD50)</f>
        <v>4.5</v>
      </c>
      <c r="CL50" s="9" t="str">
        <f>IF(AND(CI50&gt;50%, CJ50&gt;2.5, CK50&gt;2.5), "Compromiso", "")</f>
        <v/>
      </c>
      <c r="CM50" s="9" t="str">
        <f>IF(AND(CI50&gt;75%, CJ50&gt;4, CK50&gt;4), "Liderazgo", "")</f>
        <v/>
      </c>
      <c r="CN50" s="9" t="str">
        <f>IF(AND(CI50&gt;90%, CJ50&gt;4.5, CK50&gt;4.5), "Transformación", "")</f>
        <v/>
      </c>
      <c r="CO50" s="9" t="s">
        <v>581</v>
      </c>
      <c r="CP50" s="3" t="s">
        <v>95</v>
      </c>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row>
    <row r="51" spans="1:155" ht="17.25" customHeight="1" x14ac:dyDescent="0.25">
      <c r="A51" s="12">
        <v>45954.741423611114</v>
      </c>
      <c r="B51" s="12">
        <v>45954.913611111115</v>
      </c>
      <c r="C51" s="9" t="s">
        <v>96</v>
      </c>
      <c r="D51" s="9" t="s">
        <v>801</v>
      </c>
      <c r="E51" s="13">
        <v>14876</v>
      </c>
      <c r="F51" s="9" t="s">
        <v>105</v>
      </c>
      <c r="G51" s="12">
        <v>45954.913621921296</v>
      </c>
      <c r="H51" s="9" t="s">
        <v>802</v>
      </c>
      <c r="I51" s="13">
        <v>3.4384999999999999</v>
      </c>
      <c r="J51" s="13">
        <v>-76.522999999999996</v>
      </c>
      <c r="K51" s="9" t="s">
        <v>98</v>
      </c>
      <c r="L51" s="9" t="s">
        <v>803</v>
      </c>
      <c r="M51" s="3" t="s">
        <v>804</v>
      </c>
      <c r="N51" s="9" t="s">
        <v>805</v>
      </c>
      <c r="O51" s="3" t="s">
        <v>618</v>
      </c>
      <c r="P51" s="9" t="s">
        <v>806</v>
      </c>
      <c r="Q51" s="9" t="s">
        <v>206</v>
      </c>
      <c r="R51" s="3">
        <v>35</v>
      </c>
      <c r="S51" s="3">
        <v>1500</v>
      </c>
      <c r="T51" s="3">
        <v>8000</v>
      </c>
      <c r="U51" s="3">
        <v>4000</v>
      </c>
      <c r="V51" s="3">
        <v>0</v>
      </c>
      <c r="W51" s="9" t="s">
        <v>91</v>
      </c>
      <c r="X51" s="3">
        <v>0</v>
      </c>
      <c r="Y51" s="9" t="s">
        <v>92</v>
      </c>
      <c r="Z51" s="3">
        <v>11</v>
      </c>
      <c r="AA51" s="3">
        <v>205288</v>
      </c>
      <c r="AB51" s="3">
        <v>0</v>
      </c>
      <c r="AC51" s="3">
        <v>0</v>
      </c>
      <c r="AD51" s="3">
        <v>0</v>
      </c>
      <c r="AE51" s="3">
        <v>0</v>
      </c>
      <c r="AF51" s="3">
        <v>0</v>
      </c>
      <c r="AG51" s="9" t="s">
        <v>93</v>
      </c>
      <c r="AH51" s="9" t="s">
        <v>93</v>
      </c>
      <c r="AI51" s="9" t="s">
        <v>93</v>
      </c>
      <c r="AJ51" s="9" t="s">
        <v>93</v>
      </c>
      <c r="AK51" s="9" t="s">
        <v>93</v>
      </c>
      <c r="AL51" s="9" t="s">
        <v>93</v>
      </c>
      <c r="AM51" s="9" t="s">
        <v>93</v>
      </c>
      <c r="AN51" s="9" t="s">
        <v>93</v>
      </c>
      <c r="AO51" s="9" t="s">
        <v>93</v>
      </c>
      <c r="AP51" s="9" t="s">
        <v>93</v>
      </c>
      <c r="AQ51" s="9" t="s">
        <v>93</v>
      </c>
      <c r="AR51" s="9" t="s">
        <v>93</v>
      </c>
      <c r="AS51" s="9" t="s">
        <v>93</v>
      </c>
      <c r="AT51" s="9" t="s">
        <v>93</v>
      </c>
      <c r="AU51" s="9" t="s">
        <v>93</v>
      </c>
      <c r="AV51" s="9" t="s">
        <v>93</v>
      </c>
      <c r="AW51" s="9" t="s">
        <v>93</v>
      </c>
      <c r="AX51" s="9" t="s">
        <v>94</v>
      </c>
      <c r="AY51" s="9" t="s">
        <v>93</v>
      </c>
      <c r="AZ51" s="9" t="s">
        <v>93</v>
      </c>
      <c r="BA51" s="9" t="s">
        <v>93</v>
      </c>
      <c r="BB51" s="9" t="s">
        <v>93</v>
      </c>
      <c r="BC51" s="11">
        <v>5</v>
      </c>
      <c r="BD51" s="11">
        <v>5</v>
      </c>
      <c r="BE51" s="11">
        <v>5</v>
      </c>
      <c r="BF51" s="11">
        <v>4</v>
      </c>
      <c r="BG51" s="11">
        <v>4</v>
      </c>
      <c r="BH51" s="11">
        <v>5</v>
      </c>
      <c r="BI51" s="11">
        <v>4</v>
      </c>
      <c r="BJ51" s="11">
        <v>5</v>
      </c>
      <c r="BK51" s="11">
        <v>4</v>
      </c>
      <c r="BL51" s="11">
        <v>5</v>
      </c>
      <c r="BM51" s="11">
        <v>5</v>
      </c>
      <c r="BN51" s="11">
        <v>5</v>
      </c>
      <c r="BO51" s="11">
        <v>5</v>
      </c>
      <c r="BP51" s="11">
        <v>5</v>
      </c>
      <c r="BQ51" s="11">
        <v>5</v>
      </c>
      <c r="BR51" s="11">
        <v>4</v>
      </c>
      <c r="BS51" s="11">
        <v>4</v>
      </c>
      <c r="BT51" s="11">
        <v>5</v>
      </c>
      <c r="BU51" s="11">
        <v>4</v>
      </c>
      <c r="BV51" s="11">
        <v>5</v>
      </c>
      <c r="BW51" s="11">
        <v>5</v>
      </c>
      <c r="BX51" s="11">
        <v>5</v>
      </c>
      <c r="BY51" s="11">
        <v>5</v>
      </c>
      <c r="BZ51" s="11">
        <v>5</v>
      </c>
      <c r="CA51" s="11">
        <v>4</v>
      </c>
      <c r="CB51" s="11">
        <v>5</v>
      </c>
      <c r="CC51" s="11">
        <v>5</v>
      </c>
      <c r="CD51" s="11">
        <v>5</v>
      </c>
      <c r="CE51" s="9" t="s">
        <v>807</v>
      </c>
      <c r="CF51" s="3">
        <v>21</v>
      </c>
      <c r="CG51" s="3">
        <v>46</v>
      </c>
      <c r="CH51" s="3">
        <v>86</v>
      </c>
      <c r="CI51" s="6">
        <f>COUNTIF(AG51:BB51, "Dispone")/22</f>
        <v>0.95454545454545459</v>
      </c>
      <c r="CJ51" s="7">
        <f>AVERAGE(BC51:BL51)</f>
        <v>4.5999999999999996</v>
      </c>
      <c r="CK51" s="15">
        <f>AVERAGE(BM51:CD51)</f>
        <v>4.7777777777777777</v>
      </c>
      <c r="CL51" s="9" t="str">
        <f>IF(AND(CI51&gt;50%, CJ51&gt;2.5, CK51&gt;2.5), "Compromiso", "")</f>
        <v>Compromiso</v>
      </c>
      <c r="CM51" s="9" t="str">
        <f>IF(AND(CI51&gt;75%, CJ51&gt;4, CK51&gt;4), "Liderazgo", "")</f>
        <v>Liderazgo</v>
      </c>
      <c r="CN51" s="9" t="str">
        <f>IF(AND(CI51&gt;90%, CJ51&gt;4.5, CK51&gt;4.5), "Transformación", "")</f>
        <v>Transformación</v>
      </c>
      <c r="CO51" s="9" t="s">
        <v>132</v>
      </c>
      <c r="CP51" s="3" t="s">
        <v>95</v>
      </c>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row>
    <row r="52" spans="1:155" ht="17.25" customHeight="1" x14ac:dyDescent="0.25">
      <c r="A52" s="12">
        <v>45951.661712962959</v>
      </c>
      <c r="B52" s="12">
        <v>45951.823229166665</v>
      </c>
      <c r="C52" s="9" t="s">
        <v>96</v>
      </c>
      <c r="D52" s="9" t="s">
        <v>213</v>
      </c>
      <c r="E52" s="13">
        <v>13954</v>
      </c>
      <c r="F52" s="9" t="s">
        <v>105</v>
      </c>
      <c r="G52" s="12">
        <v>45951.823241585647</v>
      </c>
      <c r="H52" s="9" t="s">
        <v>214</v>
      </c>
      <c r="I52" s="13">
        <v>4.8587999999999996</v>
      </c>
      <c r="J52" s="13">
        <v>-74.055300000000003</v>
      </c>
      <c r="K52" s="9" t="s">
        <v>98</v>
      </c>
      <c r="L52" s="9" t="s">
        <v>215</v>
      </c>
      <c r="M52" s="3" t="s">
        <v>216</v>
      </c>
      <c r="N52" s="9" t="s">
        <v>217</v>
      </c>
      <c r="O52" s="3" t="s">
        <v>931</v>
      </c>
      <c r="P52" s="9" t="s">
        <v>218</v>
      </c>
      <c r="Q52" s="9" t="s">
        <v>102</v>
      </c>
      <c r="R52" s="3">
        <v>42</v>
      </c>
      <c r="S52" s="3">
        <v>600</v>
      </c>
      <c r="T52" s="3">
        <v>4996</v>
      </c>
      <c r="U52" s="3">
        <v>60</v>
      </c>
      <c r="V52" s="3">
        <v>0</v>
      </c>
      <c r="W52" s="9" t="s">
        <v>91</v>
      </c>
      <c r="X52" s="3">
        <v>3</v>
      </c>
      <c r="Y52" s="9" t="s">
        <v>153</v>
      </c>
      <c r="Z52" s="3">
        <v>16</v>
      </c>
      <c r="AA52" s="3">
        <v>36154</v>
      </c>
      <c r="AB52" s="3">
        <v>0</v>
      </c>
      <c r="AC52" s="3">
        <v>17</v>
      </c>
      <c r="AD52" s="3">
        <v>15918</v>
      </c>
      <c r="AE52" s="3">
        <v>75</v>
      </c>
      <c r="AF52" s="3">
        <v>269265</v>
      </c>
      <c r="AG52" s="9" t="s">
        <v>93</v>
      </c>
      <c r="AH52" s="9" t="s">
        <v>93</v>
      </c>
      <c r="AI52" s="9" t="s">
        <v>94</v>
      </c>
      <c r="AJ52" s="9" t="s">
        <v>94</v>
      </c>
      <c r="AK52" s="9" t="s">
        <v>93</v>
      </c>
      <c r="AL52" s="9" t="s">
        <v>93</v>
      </c>
      <c r="AM52" s="9" t="s">
        <v>93</v>
      </c>
      <c r="AN52" s="9" t="s">
        <v>93</v>
      </c>
      <c r="AO52" s="9" t="s">
        <v>93</v>
      </c>
      <c r="AP52" s="9" t="s">
        <v>93</v>
      </c>
      <c r="AQ52" s="9" t="s">
        <v>93</v>
      </c>
      <c r="AR52" s="9" t="s">
        <v>93</v>
      </c>
      <c r="AS52" s="9" t="s">
        <v>93</v>
      </c>
      <c r="AT52" s="9" t="s">
        <v>93</v>
      </c>
      <c r="AU52" s="9" t="s">
        <v>93</v>
      </c>
      <c r="AV52" s="9" t="s">
        <v>93</v>
      </c>
      <c r="AW52" s="9" t="s">
        <v>93</v>
      </c>
      <c r="AX52" s="9" t="s">
        <v>93</v>
      </c>
      <c r="AY52" s="9" t="s">
        <v>93</v>
      </c>
      <c r="AZ52" s="9" t="s">
        <v>93</v>
      </c>
      <c r="BA52" s="9" t="s">
        <v>93</v>
      </c>
      <c r="BB52" s="9" t="s">
        <v>94</v>
      </c>
      <c r="BC52" s="11">
        <v>1</v>
      </c>
      <c r="BD52" s="11">
        <v>3</v>
      </c>
      <c r="BE52" s="11">
        <v>1</v>
      </c>
      <c r="BF52" s="11">
        <v>5</v>
      </c>
      <c r="BG52" s="11">
        <v>4</v>
      </c>
      <c r="BH52" s="11">
        <v>5</v>
      </c>
      <c r="BI52" s="11">
        <v>5</v>
      </c>
      <c r="BJ52" s="11">
        <v>5</v>
      </c>
      <c r="BK52" s="11">
        <v>2</v>
      </c>
      <c r="BL52" s="11">
        <v>3</v>
      </c>
      <c r="BM52" s="11">
        <v>5</v>
      </c>
      <c r="BN52" s="11">
        <v>5</v>
      </c>
      <c r="BO52" s="11">
        <v>5</v>
      </c>
      <c r="BP52" s="11">
        <v>5</v>
      </c>
      <c r="BQ52" s="11">
        <v>5</v>
      </c>
      <c r="BR52" s="11">
        <v>5</v>
      </c>
      <c r="BS52" s="11">
        <v>5</v>
      </c>
      <c r="BT52" s="11">
        <v>5</v>
      </c>
      <c r="BU52" s="11">
        <v>4</v>
      </c>
      <c r="BV52" s="11">
        <v>2</v>
      </c>
      <c r="BW52" s="11">
        <v>3</v>
      </c>
      <c r="BX52" s="11">
        <v>3</v>
      </c>
      <c r="BY52" s="11">
        <v>4</v>
      </c>
      <c r="BZ52" s="11">
        <v>3</v>
      </c>
      <c r="CA52" s="11">
        <v>5</v>
      </c>
      <c r="CB52" s="11">
        <v>5</v>
      </c>
      <c r="CC52" s="11">
        <v>5</v>
      </c>
      <c r="CD52" s="11">
        <v>5</v>
      </c>
      <c r="CE52" s="9" t="s">
        <v>219</v>
      </c>
      <c r="CF52" s="3">
        <v>19</v>
      </c>
      <c r="CG52" s="3">
        <v>34</v>
      </c>
      <c r="CH52" s="3">
        <v>79</v>
      </c>
      <c r="CI52" s="6">
        <f>COUNTIF(AG52:BB52, "Dispone")/22</f>
        <v>0.86363636363636365</v>
      </c>
      <c r="CJ52" s="7">
        <f>AVERAGE(BC52:BL52)</f>
        <v>3.4</v>
      </c>
      <c r="CK52" s="15">
        <f>AVERAGE(BM52:CD52)</f>
        <v>4.3888888888888893</v>
      </c>
      <c r="CL52" s="9" t="str">
        <f>IF(AND(CI52&gt;50%, CJ52&gt;2.5, CK52&gt;2.5), "Compromiso", "")</f>
        <v>Compromiso</v>
      </c>
      <c r="CM52" s="9" t="str">
        <f>IF(AND(CI52&gt;75%, CJ52&gt;4, CK52&gt;4), "Liderazgo", "")</f>
        <v/>
      </c>
      <c r="CN52" s="9" t="str">
        <f>IF(AND(CI52&gt;90%, CJ52&gt;4.5, CK52&gt;4.5), "Transformación", "")</f>
        <v/>
      </c>
      <c r="CO52" s="9" t="s">
        <v>95</v>
      </c>
      <c r="CP52" s="3" t="s">
        <v>95</v>
      </c>
    </row>
    <row r="53" spans="1:155" ht="17.25" customHeight="1" x14ac:dyDescent="0.25">
      <c r="A53" s="16">
        <v>45961.632638888892</v>
      </c>
      <c r="B53" s="16">
        <v>45961.757638888892</v>
      </c>
      <c r="C53" s="3" t="s">
        <v>96</v>
      </c>
      <c r="D53" s="3" t="s">
        <v>532</v>
      </c>
      <c r="E53" s="3">
        <v>10778</v>
      </c>
      <c r="F53" s="3" t="b">
        <v>1</v>
      </c>
      <c r="G53" s="16">
        <v>45961.757638888892</v>
      </c>
      <c r="H53" s="3" t="s">
        <v>533</v>
      </c>
      <c r="I53" s="3">
        <v>4.6632999999999996</v>
      </c>
      <c r="J53" s="3">
        <v>-74.041300000000007</v>
      </c>
      <c r="K53" s="3" t="s">
        <v>98</v>
      </c>
      <c r="L53" s="3" t="s">
        <v>534</v>
      </c>
      <c r="M53" s="3" t="s">
        <v>535</v>
      </c>
      <c r="N53" s="3" t="s">
        <v>536</v>
      </c>
      <c r="O53" s="3" t="s">
        <v>537</v>
      </c>
      <c r="P53" s="3">
        <v>3125160118</v>
      </c>
      <c r="Q53" s="3" t="s">
        <v>102</v>
      </c>
      <c r="R53" s="3">
        <v>1974</v>
      </c>
      <c r="S53" s="3">
        <v>432</v>
      </c>
      <c r="T53" s="3">
        <v>3569</v>
      </c>
      <c r="U53" s="3">
        <v>1093</v>
      </c>
      <c r="V53" s="3">
        <v>0</v>
      </c>
      <c r="W53" s="3" t="s">
        <v>91</v>
      </c>
      <c r="X53" s="3">
        <v>2</v>
      </c>
      <c r="Y53" s="3" t="s">
        <v>153</v>
      </c>
      <c r="Z53" s="3">
        <v>16</v>
      </c>
      <c r="AA53" s="3">
        <v>413322</v>
      </c>
      <c r="AB53" s="3">
        <v>127</v>
      </c>
      <c r="AC53" s="3">
        <v>5</v>
      </c>
      <c r="AD53" s="3">
        <v>7351</v>
      </c>
      <c r="AE53" s="3">
        <v>139</v>
      </c>
      <c r="AF53" s="3">
        <v>306722</v>
      </c>
      <c r="AG53" s="3" t="s">
        <v>93</v>
      </c>
      <c r="AH53" s="3" t="s">
        <v>93</v>
      </c>
      <c r="AI53" s="3" t="s">
        <v>93</v>
      </c>
      <c r="AJ53" s="3" t="s">
        <v>93</v>
      </c>
      <c r="AK53" s="3" t="s">
        <v>93</v>
      </c>
      <c r="AL53" s="3" t="s">
        <v>93</v>
      </c>
      <c r="AM53" s="3" t="s">
        <v>93</v>
      </c>
      <c r="AN53" s="3" t="s">
        <v>93</v>
      </c>
      <c r="AO53" s="3" t="s">
        <v>93</v>
      </c>
      <c r="AP53" s="3" t="s">
        <v>94</v>
      </c>
      <c r="AQ53" s="3" t="s">
        <v>93</v>
      </c>
      <c r="AR53" s="3" t="s">
        <v>93</v>
      </c>
      <c r="AS53" s="3" t="s">
        <v>93</v>
      </c>
      <c r="AT53" s="3" t="s">
        <v>93</v>
      </c>
      <c r="AU53" s="3" t="s">
        <v>93</v>
      </c>
      <c r="AV53" s="3" t="s">
        <v>93</v>
      </c>
      <c r="AW53" s="3" t="s">
        <v>93</v>
      </c>
      <c r="AX53" s="3" t="s">
        <v>93</v>
      </c>
      <c r="AY53" s="3" t="s">
        <v>93</v>
      </c>
      <c r="AZ53" s="3" t="s">
        <v>93</v>
      </c>
      <c r="BA53" s="3" t="s">
        <v>94</v>
      </c>
      <c r="BB53" s="3" t="s">
        <v>93</v>
      </c>
      <c r="BC53" s="3">
        <v>5</v>
      </c>
      <c r="BD53" s="3">
        <v>4</v>
      </c>
      <c r="BE53" s="3">
        <v>5</v>
      </c>
      <c r="BF53" s="3">
        <v>4</v>
      </c>
      <c r="BG53" s="3">
        <v>3</v>
      </c>
      <c r="BH53" s="3">
        <v>4</v>
      </c>
      <c r="BI53" s="3">
        <v>4</v>
      </c>
      <c r="BJ53" s="3">
        <v>5</v>
      </c>
      <c r="BK53" s="3">
        <v>4</v>
      </c>
      <c r="BL53" s="3">
        <v>4</v>
      </c>
      <c r="BM53" s="3">
        <v>5</v>
      </c>
      <c r="BN53" s="3">
        <v>5</v>
      </c>
      <c r="BO53" s="3">
        <v>5</v>
      </c>
      <c r="BP53" s="3">
        <v>4</v>
      </c>
      <c r="BQ53" s="3">
        <v>5</v>
      </c>
      <c r="BR53" s="3">
        <v>5</v>
      </c>
      <c r="BS53" s="3">
        <v>5</v>
      </c>
      <c r="BT53" s="3">
        <v>5</v>
      </c>
      <c r="BU53" s="3">
        <v>5</v>
      </c>
      <c r="BV53" s="3">
        <v>5</v>
      </c>
      <c r="BW53" s="3">
        <v>5</v>
      </c>
      <c r="BX53" s="3">
        <v>5</v>
      </c>
      <c r="BY53" s="3">
        <v>5</v>
      </c>
      <c r="BZ53" s="3">
        <v>5</v>
      </c>
      <c r="CA53" s="3">
        <v>5</v>
      </c>
      <c r="CB53" s="3">
        <v>5</v>
      </c>
      <c r="CC53" s="3">
        <v>5</v>
      </c>
      <c r="CD53" s="3">
        <v>5</v>
      </c>
      <c r="CE53" s="3" t="s">
        <v>538</v>
      </c>
      <c r="CF53" s="3">
        <v>20</v>
      </c>
      <c r="CG53" s="3">
        <v>42</v>
      </c>
      <c r="CH53" s="3">
        <v>89</v>
      </c>
      <c r="CI53" s="6">
        <f>COUNTIF(AG53:BB53, "Dispone")/22</f>
        <v>0.90909090909090906</v>
      </c>
      <c r="CJ53" s="7">
        <f>AVERAGE(BC53:BL53)</f>
        <v>4.2</v>
      </c>
      <c r="CK53" s="15">
        <f>AVERAGE(BM53:CD53)</f>
        <v>4.9444444444444446</v>
      </c>
      <c r="CL53" s="9" t="str">
        <f>IF(AND(CI53&gt;50%, CJ53&gt;2.5, CK53&gt;2.5), "Compromiso", "")</f>
        <v>Compromiso</v>
      </c>
      <c r="CM53" s="9" t="str">
        <f>IF(AND(CI53&gt;75%, CJ53&gt;4, CK53&gt;4), "Liderazgo", "")</f>
        <v>Liderazgo</v>
      </c>
      <c r="CN53" s="9" t="str">
        <f>IF(AND(CI53&gt;90%, CJ53&gt;4.5, CK53&gt;4.5), "Transformación", "")</f>
        <v/>
      </c>
      <c r="CO53" s="9" t="s">
        <v>103</v>
      </c>
      <c r="CP53" s="3" t="s">
        <v>103</v>
      </c>
    </row>
    <row r="54" spans="1:155" ht="17.25" customHeight="1" x14ac:dyDescent="0.25">
      <c r="A54" s="12">
        <v>45898.875914351855</v>
      </c>
      <c r="B54" s="12">
        <v>45898.995752314811</v>
      </c>
      <c r="C54" s="9" t="s">
        <v>96</v>
      </c>
      <c r="D54" s="9" t="s">
        <v>834</v>
      </c>
      <c r="E54" s="13">
        <v>10354</v>
      </c>
      <c r="F54" s="9" t="s">
        <v>105</v>
      </c>
      <c r="G54" s="12">
        <v>45898.995770393522</v>
      </c>
      <c r="H54" s="9" t="s">
        <v>835</v>
      </c>
      <c r="I54" s="13">
        <v>-34.614199999999997</v>
      </c>
      <c r="J54" s="13">
        <v>-58.381100000000004</v>
      </c>
      <c r="K54" s="9" t="s">
        <v>98</v>
      </c>
      <c r="L54" s="9" t="s">
        <v>836</v>
      </c>
      <c r="M54" s="3" t="s">
        <v>837</v>
      </c>
      <c r="N54" s="9" t="s">
        <v>838</v>
      </c>
      <c r="O54" s="3" t="s">
        <v>932</v>
      </c>
      <c r="P54" s="9" t="s">
        <v>839</v>
      </c>
      <c r="Q54" s="9" t="s">
        <v>130</v>
      </c>
      <c r="R54" s="3">
        <v>1994</v>
      </c>
      <c r="S54" s="3">
        <v>1800</v>
      </c>
      <c r="T54" s="3">
        <v>9000</v>
      </c>
      <c r="U54" s="3">
        <v>1000</v>
      </c>
      <c r="V54" s="3">
        <v>400</v>
      </c>
      <c r="W54" s="9" t="s">
        <v>118</v>
      </c>
      <c r="X54" s="3">
        <v>300</v>
      </c>
      <c r="Y54" s="9" t="s">
        <v>92</v>
      </c>
      <c r="Z54" s="3">
        <v>14</v>
      </c>
      <c r="AA54" s="3">
        <v>3840000</v>
      </c>
      <c r="AB54" s="3">
        <v>1597</v>
      </c>
      <c r="AC54" s="3">
        <v>60</v>
      </c>
      <c r="AD54" s="3">
        <v>35680</v>
      </c>
      <c r="AE54" s="3">
        <v>50</v>
      </c>
      <c r="AF54" s="3">
        <v>1000000</v>
      </c>
      <c r="AG54" s="9" t="s">
        <v>93</v>
      </c>
      <c r="AH54" s="9" t="s">
        <v>93</v>
      </c>
      <c r="AI54" s="9" t="s">
        <v>93</v>
      </c>
      <c r="AJ54" s="9" t="s">
        <v>93</v>
      </c>
      <c r="AK54" s="9" t="s">
        <v>93</v>
      </c>
      <c r="AL54" s="9" t="s">
        <v>93</v>
      </c>
      <c r="AM54" s="9" t="s">
        <v>93</v>
      </c>
      <c r="AN54" s="9" t="s">
        <v>93</v>
      </c>
      <c r="AO54" s="9" t="s">
        <v>93</v>
      </c>
      <c r="AP54" s="9" t="s">
        <v>93</v>
      </c>
      <c r="AQ54" s="9" t="s">
        <v>93</v>
      </c>
      <c r="AR54" s="9" t="s">
        <v>93</v>
      </c>
      <c r="AS54" s="9" t="s">
        <v>93</v>
      </c>
      <c r="AT54" s="9" t="s">
        <v>93</v>
      </c>
      <c r="AU54" s="9" t="s">
        <v>93</v>
      </c>
      <c r="AV54" s="9" t="s">
        <v>93</v>
      </c>
      <c r="AW54" s="9" t="s">
        <v>93</v>
      </c>
      <c r="AX54" s="9" t="s">
        <v>94</v>
      </c>
      <c r="AY54" s="9" t="s">
        <v>93</v>
      </c>
      <c r="AZ54" s="9" t="s">
        <v>93</v>
      </c>
      <c r="BA54" s="9" t="s">
        <v>93</v>
      </c>
      <c r="BB54" s="9" t="s">
        <v>93</v>
      </c>
      <c r="BC54" s="11">
        <v>5</v>
      </c>
      <c r="BD54" s="11">
        <v>5</v>
      </c>
      <c r="BE54" s="11">
        <v>5</v>
      </c>
      <c r="BF54" s="11">
        <v>5</v>
      </c>
      <c r="BG54" s="11">
        <v>5</v>
      </c>
      <c r="BH54" s="11">
        <v>4</v>
      </c>
      <c r="BI54" s="11">
        <v>4</v>
      </c>
      <c r="BJ54" s="11">
        <v>5</v>
      </c>
      <c r="BK54" s="11">
        <v>5</v>
      </c>
      <c r="BL54" s="11">
        <v>4</v>
      </c>
      <c r="BM54" s="11">
        <v>5</v>
      </c>
      <c r="BN54" s="11">
        <v>5</v>
      </c>
      <c r="BO54" s="11">
        <v>5</v>
      </c>
      <c r="BP54" s="11">
        <v>5</v>
      </c>
      <c r="BQ54" s="11">
        <v>5</v>
      </c>
      <c r="BR54" s="11">
        <v>5</v>
      </c>
      <c r="BS54" s="11">
        <v>5</v>
      </c>
      <c r="BT54" s="11">
        <v>5</v>
      </c>
      <c r="BU54" s="11">
        <v>5</v>
      </c>
      <c r="BV54" s="11">
        <v>5</v>
      </c>
      <c r="BW54" s="11">
        <v>5</v>
      </c>
      <c r="BX54" s="11">
        <v>5</v>
      </c>
      <c r="BY54" s="11">
        <v>5</v>
      </c>
      <c r="BZ54" s="11">
        <v>5</v>
      </c>
      <c r="CA54" s="11">
        <v>5</v>
      </c>
      <c r="CB54" s="11">
        <v>5</v>
      </c>
      <c r="CC54" s="11">
        <v>5</v>
      </c>
      <c r="CD54" s="11">
        <v>5</v>
      </c>
      <c r="CE54" s="9"/>
      <c r="CF54" s="3">
        <v>21</v>
      </c>
      <c r="CG54" s="3">
        <v>47</v>
      </c>
      <c r="CH54" s="3">
        <v>90</v>
      </c>
      <c r="CI54" s="6">
        <f>COUNTIF(AG54:BB54, "Dispone")/22</f>
        <v>0.95454545454545459</v>
      </c>
      <c r="CJ54" s="7">
        <f>AVERAGE(BC54:BL54)</f>
        <v>4.7</v>
      </c>
      <c r="CK54" s="15">
        <f>AVERAGE(BM54:CD54)</f>
        <v>5</v>
      </c>
      <c r="CL54" s="9" t="str">
        <f>IF(AND(CI54&gt;50%, CJ54&gt;2.5, CK54&gt;2.5), "Compromiso", "")</f>
        <v>Compromiso</v>
      </c>
      <c r="CM54" s="9" t="str">
        <f>IF(AND(CI54&gt;75%, CJ54&gt;4, CK54&gt;4), "Liderazgo", "")</f>
        <v>Liderazgo</v>
      </c>
      <c r="CN54" s="9" t="str">
        <f>IF(AND(CI54&gt;90%, CJ54&gt;4.5, CK54&gt;4.5), "Transformación", "")</f>
        <v>Transformación</v>
      </c>
      <c r="CO54" s="9" t="s">
        <v>132</v>
      </c>
      <c r="CP54" s="3" t="s">
        <v>95</v>
      </c>
    </row>
    <row r="55" spans="1:155" ht="17.25" customHeight="1" x14ac:dyDescent="0.25">
      <c r="A55" s="12">
        <v>45898.813680555555</v>
      </c>
      <c r="B55" s="12">
        <v>45898.932569444441</v>
      </c>
      <c r="C55" s="9" t="s">
        <v>96</v>
      </c>
      <c r="D55" s="9" t="s">
        <v>280</v>
      </c>
      <c r="E55" s="13">
        <v>10271</v>
      </c>
      <c r="F55" s="9" t="s">
        <v>105</v>
      </c>
      <c r="G55" s="12">
        <v>45898.932578055559</v>
      </c>
      <c r="H55" s="9" t="s">
        <v>281</v>
      </c>
      <c r="I55" s="13">
        <v>-22.974499999999999</v>
      </c>
      <c r="J55" s="13">
        <v>-46.976199999999999</v>
      </c>
      <c r="K55" s="9" t="s">
        <v>98</v>
      </c>
      <c r="L55" s="9" t="s">
        <v>282</v>
      </c>
      <c r="M55" s="3" t="s">
        <v>879</v>
      </c>
      <c r="N55" s="9" t="s">
        <v>277</v>
      </c>
      <c r="O55" s="3" t="s">
        <v>278</v>
      </c>
      <c r="P55" s="9" t="s">
        <v>283</v>
      </c>
      <c r="Q55" s="9" t="s">
        <v>144</v>
      </c>
      <c r="R55" s="3">
        <v>1966</v>
      </c>
      <c r="S55" s="3">
        <v>7009</v>
      </c>
      <c r="T55" s="3">
        <v>76616</v>
      </c>
      <c r="U55" s="3">
        <v>37542</v>
      </c>
      <c r="V55" s="3">
        <v>7062</v>
      </c>
      <c r="W55" s="9" t="s">
        <v>91</v>
      </c>
      <c r="X55" s="3">
        <v>0.56000000000000005</v>
      </c>
      <c r="Y55" s="9" t="s">
        <v>92</v>
      </c>
      <c r="Z55" s="3">
        <v>0</v>
      </c>
      <c r="AA55" s="3">
        <v>8670065</v>
      </c>
      <c r="AB55" s="3">
        <v>4111.47</v>
      </c>
      <c r="AC55" s="3">
        <v>0.56000000000000005</v>
      </c>
      <c r="AD55" s="3">
        <v>87683400</v>
      </c>
      <c r="AE55" s="3">
        <v>0</v>
      </c>
      <c r="AF55" s="3">
        <v>0</v>
      </c>
      <c r="AG55" s="9" t="s">
        <v>94</v>
      </c>
      <c r="AH55" s="9" t="s">
        <v>93</v>
      </c>
      <c r="AI55" s="9" t="s">
        <v>93</v>
      </c>
      <c r="AJ55" s="9" t="s">
        <v>93</v>
      </c>
      <c r="AK55" s="9" t="s">
        <v>93</v>
      </c>
      <c r="AL55" s="9" t="s">
        <v>93</v>
      </c>
      <c r="AM55" s="9" t="s">
        <v>93</v>
      </c>
      <c r="AN55" s="9" t="s">
        <v>93</v>
      </c>
      <c r="AO55" s="9" t="s">
        <v>93</v>
      </c>
      <c r="AP55" s="9" t="s">
        <v>93</v>
      </c>
      <c r="AQ55" s="9" t="s">
        <v>93</v>
      </c>
      <c r="AR55" s="9" t="s">
        <v>93</v>
      </c>
      <c r="AS55" s="9" t="s">
        <v>93</v>
      </c>
      <c r="AT55" s="9" t="s">
        <v>93</v>
      </c>
      <c r="AU55" s="9" t="s">
        <v>93</v>
      </c>
      <c r="AV55" s="9" t="s">
        <v>93</v>
      </c>
      <c r="AW55" s="9" t="s">
        <v>94</v>
      </c>
      <c r="AX55" s="9" t="s">
        <v>94</v>
      </c>
      <c r="AY55" s="9" t="s">
        <v>93</v>
      </c>
      <c r="AZ55" s="9" t="s">
        <v>93</v>
      </c>
      <c r="BA55" s="9" t="s">
        <v>94</v>
      </c>
      <c r="BB55" s="9" t="s">
        <v>94</v>
      </c>
      <c r="BC55" s="11">
        <v>3</v>
      </c>
      <c r="BD55" s="11">
        <v>3</v>
      </c>
      <c r="BE55" s="11">
        <v>3</v>
      </c>
      <c r="BF55" s="11">
        <v>3</v>
      </c>
      <c r="BG55" s="11">
        <v>4</v>
      </c>
      <c r="BH55" s="11">
        <v>3</v>
      </c>
      <c r="BI55" s="11">
        <v>2</v>
      </c>
      <c r="BJ55" s="11">
        <v>5</v>
      </c>
      <c r="BK55" s="11">
        <v>3</v>
      </c>
      <c r="BL55" s="11">
        <v>2</v>
      </c>
      <c r="BM55" s="11">
        <v>4</v>
      </c>
      <c r="BN55" s="11">
        <v>5</v>
      </c>
      <c r="BO55" s="11">
        <v>4</v>
      </c>
      <c r="BP55" s="11">
        <v>5</v>
      </c>
      <c r="BQ55" s="11">
        <v>5</v>
      </c>
      <c r="BR55" s="11">
        <v>5</v>
      </c>
      <c r="BS55" s="11">
        <v>3</v>
      </c>
      <c r="BT55" s="11">
        <v>3</v>
      </c>
      <c r="BU55" s="11">
        <v>3</v>
      </c>
      <c r="BV55" s="11">
        <v>5</v>
      </c>
      <c r="BW55" s="11">
        <v>3</v>
      </c>
      <c r="BX55" s="11">
        <v>3</v>
      </c>
      <c r="BY55" s="11">
        <v>4</v>
      </c>
      <c r="BZ55" s="11">
        <v>4</v>
      </c>
      <c r="CA55" s="11">
        <v>5</v>
      </c>
      <c r="CB55" s="11">
        <v>5</v>
      </c>
      <c r="CC55" s="11">
        <v>3</v>
      </c>
      <c r="CD55" s="11">
        <v>3</v>
      </c>
      <c r="CE55" s="9" t="s">
        <v>284</v>
      </c>
      <c r="CF55" s="3">
        <v>17</v>
      </c>
      <c r="CG55" s="3">
        <v>31</v>
      </c>
      <c r="CH55" s="3">
        <v>72</v>
      </c>
      <c r="CI55" s="6">
        <f>COUNTIF(AG55:BB55, "Dispone")/22</f>
        <v>0.77272727272727271</v>
      </c>
      <c r="CJ55" s="7">
        <f>AVERAGE(BC55:BL55)</f>
        <v>3.1</v>
      </c>
      <c r="CK55" s="15">
        <f>AVERAGE(BM55:CD55)</f>
        <v>4</v>
      </c>
      <c r="CL55" s="9" t="str">
        <f>IF(AND(CI55&gt;50%, CJ55&gt;2.5, CK55&gt;2.5), "Compromiso", "")</f>
        <v>Compromiso</v>
      </c>
      <c r="CM55" s="9" t="str">
        <f>IF(AND(CI55&gt;75%, CJ55&gt;4, CK55&gt;4), "Liderazgo", "")</f>
        <v/>
      </c>
      <c r="CN55" s="9" t="str">
        <f>IF(AND(CI55&gt;90%, CJ55&gt;4.5, CK55&gt;4.5), "Transformación", "")</f>
        <v/>
      </c>
      <c r="CO55" s="9" t="s">
        <v>95</v>
      </c>
      <c r="CP55" s="3" t="s">
        <v>103</v>
      </c>
    </row>
    <row r="56" spans="1:155" ht="17.25" customHeight="1" x14ac:dyDescent="0.25">
      <c r="A56" s="12">
        <v>45868.264837962961</v>
      </c>
      <c r="B56" s="12">
        <v>45868.381782407407</v>
      </c>
      <c r="C56" s="9" t="s">
        <v>96</v>
      </c>
      <c r="D56" s="9" t="s">
        <v>494</v>
      </c>
      <c r="E56" s="13">
        <v>10104</v>
      </c>
      <c r="F56" s="9" t="s">
        <v>105</v>
      </c>
      <c r="G56" s="12">
        <v>45868.381792569446</v>
      </c>
      <c r="H56" s="9" t="s">
        <v>495</v>
      </c>
      <c r="I56" s="13">
        <v>41.448099999999997</v>
      </c>
      <c r="J56" s="13">
        <v>2.2031999999999998</v>
      </c>
      <c r="K56" s="9" t="s">
        <v>98</v>
      </c>
      <c r="L56" s="9" t="s">
        <v>496</v>
      </c>
      <c r="M56" s="3" t="s">
        <v>883</v>
      </c>
      <c r="N56" s="9" t="s">
        <v>497</v>
      </c>
      <c r="O56" s="3" t="s">
        <v>933</v>
      </c>
      <c r="P56" s="9"/>
      <c r="Q56" s="9" t="s">
        <v>231</v>
      </c>
      <c r="R56" s="3">
        <v>1997</v>
      </c>
      <c r="S56" s="3">
        <v>7898</v>
      </c>
      <c r="T56" s="3">
        <v>184707</v>
      </c>
      <c r="U56" s="3">
        <v>15889</v>
      </c>
      <c r="V56" s="3">
        <v>0</v>
      </c>
      <c r="W56" s="9" t="s">
        <v>91</v>
      </c>
      <c r="X56" s="3">
        <v>0.4</v>
      </c>
      <c r="Y56" s="9" t="s">
        <v>92</v>
      </c>
      <c r="Z56" s="3">
        <v>17</v>
      </c>
      <c r="AA56" s="3">
        <v>60729323</v>
      </c>
      <c r="AB56" s="3">
        <v>5254.5</v>
      </c>
      <c r="AC56" s="3">
        <v>8</v>
      </c>
      <c r="AD56" s="3">
        <v>1911349</v>
      </c>
      <c r="AE56" s="3">
        <v>45.36</v>
      </c>
      <c r="AF56" s="3">
        <v>57209.52</v>
      </c>
      <c r="AG56" s="9" t="s">
        <v>93</v>
      </c>
      <c r="AH56" s="9" t="s">
        <v>93</v>
      </c>
      <c r="AI56" s="9" t="s">
        <v>94</v>
      </c>
      <c r="AJ56" s="9" t="s">
        <v>93</v>
      </c>
      <c r="AK56" s="9" t="s">
        <v>93</v>
      </c>
      <c r="AL56" s="9" t="s">
        <v>93</v>
      </c>
      <c r="AM56" s="9" t="s">
        <v>93</v>
      </c>
      <c r="AN56" s="9" t="s">
        <v>93</v>
      </c>
      <c r="AO56" s="9" t="s">
        <v>93</v>
      </c>
      <c r="AP56" s="9" t="s">
        <v>93</v>
      </c>
      <c r="AQ56" s="9" t="s">
        <v>94</v>
      </c>
      <c r="AR56" s="9" t="s">
        <v>93</v>
      </c>
      <c r="AS56" s="9" t="s">
        <v>93</v>
      </c>
      <c r="AT56" s="9" t="s">
        <v>94</v>
      </c>
      <c r="AU56" s="9" t="s">
        <v>93</v>
      </c>
      <c r="AV56" s="9" t="s">
        <v>93</v>
      </c>
      <c r="AW56" s="9" t="s">
        <v>94</v>
      </c>
      <c r="AX56" s="9" t="s">
        <v>94</v>
      </c>
      <c r="AY56" s="9" t="s">
        <v>93</v>
      </c>
      <c r="AZ56" s="9" t="s">
        <v>93</v>
      </c>
      <c r="BA56" s="9" t="s">
        <v>93</v>
      </c>
      <c r="BB56" s="9" t="s">
        <v>93</v>
      </c>
      <c r="BC56" s="11">
        <v>5</v>
      </c>
      <c r="BD56" s="11">
        <v>4</v>
      </c>
      <c r="BE56" s="11">
        <v>4</v>
      </c>
      <c r="BF56" s="11">
        <v>5</v>
      </c>
      <c r="BG56" s="11">
        <v>5</v>
      </c>
      <c r="BH56" s="11">
        <v>5</v>
      </c>
      <c r="BI56" s="11">
        <v>2</v>
      </c>
      <c r="BJ56" s="11">
        <v>5</v>
      </c>
      <c r="BK56" s="11">
        <v>5</v>
      </c>
      <c r="BL56" s="11">
        <v>4</v>
      </c>
      <c r="BM56" s="11">
        <v>5</v>
      </c>
      <c r="BN56" s="11">
        <v>5</v>
      </c>
      <c r="BO56" s="11">
        <v>4</v>
      </c>
      <c r="BP56" s="11">
        <v>4</v>
      </c>
      <c r="BQ56" s="11">
        <v>4</v>
      </c>
      <c r="BR56" s="11">
        <v>3</v>
      </c>
      <c r="BS56" s="11">
        <v>3</v>
      </c>
      <c r="BT56" s="11">
        <v>4</v>
      </c>
      <c r="BU56" s="11">
        <v>4</v>
      </c>
      <c r="BV56" s="11">
        <v>5</v>
      </c>
      <c r="BW56" s="11">
        <v>4</v>
      </c>
      <c r="BX56" s="11">
        <v>5</v>
      </c>
      <c r="BY56" s="11">
        <v>5</v>
      </c>
      <c r="BZ56" s="11">
        <v>5</v>
      </c>
      <c r="CA56" s="11">
        <v>5</v>
      </c>
      <c r="CB56" s="11">
        <v>5</v>
      </c>
      <c r="CC56" s="11">
        <v>5</v>
      </c>
      <c r="CD56" s="11">
        <v>5</v>
      </c>
      <c r="CE56" s="9"/>
      <c r="CF56" s="3">
        <v>17</v>
      </c>
      <c r="CG56" s="3">
        <v>44</v>
      </c>
      <c r="CH56" s="3">
        <v>80</v>
      </c>
      <c r="CI56" s="6">
        <f>COUNTIF(AG56:BB56, "Dispone")/22</f>
        <v>0.77272727272727271</v>
      </c>
      <c r="CJ56" s="7">
        <f>AVERAGE(BC56:BL56)</f>
        <v>4.4000000000000004</v>
      </c>
      <c r="CK56" s="15">
        <f>AVERAGE(BM56:CD56)</f>
        <v>4.4444444444444446</v>
      </c>
      <c r="CL56" s="9" t="str">
        <f>IF(AND(CI56&gt;50%, CJ56&gt;2.5, CK56&gt;2.5), "Compromiso", "")</f>
        <v>Compromiso</v>
      </c>
      <c r="CM56" s="9" t="str">
        <f>IF(AND(CI56&gt;75%, CJ56&gt;4, CK56&gt;4), "Liderazgo", "")</f>
        <v>Liderazgo</v>
      </c>
      <c r="CN56" s="9" t="str">
        <f>IF(AND(CI56&gt;90%, CJ56&gt;4.5, CK56&gt;4.5), "Transformación", "")</f>
        <v/>
      </c>
      <c r="CO56" s="9" t="s">
        <v>103</v>
      </c>
      <c r="CP56" s="3" t="s">
        <v>103</v>
      </c>
    </row>
    <row r="57" spans="1:155" ht="17.25" customHeight="1" x14ac:dyDescent="0.25">
      <c r="A57" s="12">
        <v>45855.385231481479</v>
      </c>
      <c r="B57" s="12">
        <v>45855.496944444443</v>
      </c>
      <c r="C57" s="9" t="s">
        <v>96</v>
      </c>
      <c r="D57" s="9" t="s">
        <v>464</v>
      </c>
      <c r="E57" s="13">
        <v>9651</v>
      </c>
      <c r="F57" s="9" t="s">
        <v>105</v>
      </c>
      <c r="G57" s="12">
        <v>45855.496950266206</v>
      </c>
      <c r="H57" s="9" t="s">
        <v>465</v>
      </c>
      <c r="I57" s="13">
        <v>40.320999999999998</v>
      </c>
      <c r="J57" s="13">
        <v>-3.7225000000000001</v>
      </c>
      <c r="K57" s="9" t="s">
        <v>98</v>
      </c>
      <c r="L57" s="9" t="s">
        <v>466</v>
      </c>
      <c r="M57" s="3" t="s">
        <v>884</v>
      </c>
      <c r="N57" s="9" t="s">
        <v>467</v>
      </c>
      <c r="O57" s="3" t="s">
        <v>934</v>
      </c>
      <c r="P57" s="9" t="s">
        <v>468</v>
      </c>
      <c r="Q57" s="9" t="s">
        <v>130</v>
      </c>
      <c r="R57" s="3">
        <v>1968</v>
      </c>
      <c r="S57" s="3">
        <v>4</v>
      </c>
      <c r="T57" s="3">
        <v>30</v>
      </c>
      <c r="U57" s="3">
        <v>0</v>
      </c>
      <c r="V57" s="3">
        <v>0</v>
      </c>
      <c r="W57" s="9" t="s">
        <v>118</v>
      </c>
      <c r="X57" s="3">
        <v>13</v>
      </c>
      <c r="Y57" s="9" t="s">
        <v>92</v>
      </c>
      <c r="Z57" s="3">
        <v>55</v>
      </c>
      <c r="AA57" s="3">
        <v>36215159</v>
      </c>
      <c r="AB57" s="3">
        <v>3759</v>
      </c>
      <c r="AC57" s="3">
        <v>100</v>
      </c>
      <c r="AD57" s="3">
        <v>358688</v>
      </c>
      <c r="AE57" s="3">
        <v>6</v>
      </c>
      <c r="AF57" s="3">
        <v>54697</v>
      </c>
      <c r="AG57" s="9" t="s">
        <v>93</v>
      </c>
      <c r="AH57" s="9" t="s">
        <v>93</v>
      </c>
      <c r="AI57" s="9" t="s">
        <v>94</v>
      </c>
      <c r="AJ57" s="9" t="s">
        <v>93</v>
      </c>
      <c r="AK57" s="9" t="s">
        <v>93</v>
      </c>
      <c r="AL57" s="9" t="s">
        <v>93</v>
      </c>
      <c r="AM57" s="9" t="s">
        <v>93</v>
      </c>
      <c r="AN57" s="9" t="s">
        <v>93</v>
      </c>
      <c r="AO57" s="9" t="s">
        <v>93</v>
      </c>
      <c r="AP57" s="9" t="s">
        <v>93</v>
      </c>
      <c r="AQ57" s="9" t="s">
        <v>94</v>
      </c>
      <c r="AR57" s="9" t="s">
        <v>93</v>
      </c>
      <c r="AS57" s="9" t="s">
        <v>93</v>
      </c>
      <c r="AT57" s="9" t="s">
        <v>93</v>
      </c>
      <c r="AU57" s="9" t="s">
        <v>93</v>
      </c>
      <c r="AV57" s="9" t="s">
        <v>93</v>
      </c>
      <c r="AW57" s="9" t="s">
        <v>93</v>
      </c>
      <c r="AX57" s="9" t="s">
        <v>94</v>
      </c>
      <c r="AY57" s="9" t="s">
        <v>93</v>
      </c>
      <c r="AZ57" s="9" t="s">
        <v>93</v>
      </c>
      <c r="BA57" s="9" t="s">
        <v>93</v>
      </c>
      <c r="BB57" s="9" t="s">
        <v>93</v>
      </c>
      <c r="BC57" s="11">
        <v>5</v>
      </c>
      <c r="BD57" s="11">
        <v>5</v>
      </c>
      <c r="BE57" s="11">
        <v>5</v>
      </c>
      <c r="BF57" s="11">
        <v>5</v>
      </c>
      <c r="BG57" s="11">
        <v>2</v>
      </c>
      <c r="BH57" s="11">
        <v>5</v>
      </c>
      <c r="BI57" s="11">
        <v>5</v>
      </c>
      <c r="BJ57" s="11">
        <v>5</v>
      </c>
      <c r="BK57" s="11">
        <v>5</v>
      </c>
      <c r="BL57" s="11">
        <v>5</v>
      </c>
      <c r="BM57" s="11">
        <v>5</v>
      </c>
      <c r="BN57" s="11">
        <v>5</v>
      </c>
      <c r="BO57" s="11">
        <v>5</v>
      </c>
      <c r="BP57" s="11">
        <v>5</v>
      </c>
      <c r="BQ57" s="11">
        <v>4</v>
      </c>
      <c r="BR57" s="11">
        <v>5</v>
      </c>
      <c r="BS57" s="11">
        <v>5</v>
      </c>
      <c r="BT57" s="11">
        <v>5</v>
      </c>
      <c r="BU57" s="11">
        <v>5</v>
      </c>
      <c r="BV57" s="11">
        <v>5</v>
      </c>
      <c r="BW57" s="11">
        <v>5</v>
      </c>
      <c r="BX57" s="11">
        <v>5</v>
      </c>
      <c r="BY57" s="11">
        <v>5</v>
      </c>
      <c r="BZ57" s="11">
        <v>5</v>
      </c>
      <c r="CA57" s="11">
        <v>5</v>
      </c>
      <c r="CB57" s="11">
        <v>5</v>
      </c>
      <c r="CC57" s="11">
        <v>5</v>
      </c>
      <c r="CD57" s="11">
        <v>5</v>
      </c>
      <c r="CE57" s="9" t="s">
        <v>469</v>
      </c>
      <c r="CF57" s="3">
        <v>19</v>
      </c>
      <c r="CG57" s="3">
        <v>47</v>
      </c>
      <c r="CH57" s="3">
        <v>89</v>
      </c>
      <c r="CI57" s="6">
        <f>COUNTIF(AG57:BB57, "Dispone")/22</f>
        <v>0.86363636363636365</v>
      </c>
      <c r="CJ57" s="7">
        <f>AVERAGE(BC57:BL57)</f>
        <v>4.7</v>
      </c>
      <c r="CK57" s="15">
        <f>AVERAGE(BM57:CD57)</f>
        <v>4.9444444444444446</v>
      </c>
      <c r="CL57" s="9" t="str">
        <f>IF(AND(CI57&gt;50%, CJ57&gt;2.5, CK57&gt;2.5), "Compromiso", "")</f>
        <v>Compromiso</v>
      </c>
      <c r="CM57" s="9" t="str">
        <f>IF(AND(CI57&gt;75%, CJ57&gt;4, CK57&gt;4), "Liderazgo", "")</f>
        <v>Liderazgo</v>
      </c>
      <c r="CN57" s="9" t="str">
        <f>IF(AND(CI57&gt;90%, CJ57&gt;4.5, CK57&gt;4.5), "Transformación", "")</f>
        <v/>
      </c>
      <c r="CO57" s="9" t="s">
        <v>103</v>
      </c>
      <c r="CP57" s="3" t="s">
        <v>132</v>
      </c>
    </row>
    <row r="58" spans="1:155" ht="17.25" customHeight="1" x14ac:dyDescent="0.25">
      <c r="A58" s="16">
        <v>45987.68472222222</v>
      </c>
      <c r="B58" s="16">
        <v>45987.790277777778</v>
      </c>
      <c r="C58" s="3" t="s">
        <v>96</v>
      </c>
      <c r="D58" s="11">
        <v>189133254110</v>
      </c>
      <c r="E58" s="3">
        <v>9122</v>
      </c>
      <c r="F58" s="3" t="b">
        <v>1</v>
      </c>
      <c r="G58" s="16">
        <v>45987.790277777778</v>
      </c>
      <c r="H58" s="3" t="s">
        <v>139</v>
      </c>
      <c r="I58" s="3">
        <v>19.285799999999998</v>
      </c>
      <c r="J58" s="3">
        <v>-98.915499999999994</v>
      </c>
      <c r="K58" s="3" t="s">
        <v>98</v>
      </c>
      <c r="L58" s="3" t="s">
        <v>140</v>
      </c>
      <c r="M58" s="3" t="s">
        <v>141</v>
      </c>
      <c r="N58" s="3" t="s">
        <v>142</v>
      </c>
      <c r="O58" s="3" t="s">
        <v>143</v>
      </c>
      <c r="P58" s="3">
        <v>6188271248</v>
      </c>
      <c r="Q58" s="3" t="s">
        <v>144</v>
      </c>
      <c r="R58" s="3">
        <v>1957</v>
      </c>
      <c r="S58" s="3">
        <v>3399</v>
      </c>
      <c r="T58" s="3">
        <v>3210</v>
      </c>
      <c r="U58" s="3">
        <v>90</v>
      </c>
      <c r="V58" s="3">
        <v>0</v>
      </c>
      <c r="W58" s="3" t="s">
        <v>118</v>
      </c>
      <c r="X58" s="3">
        <v>5.2</v>
      </c>
      <c r="Y58" s="3" t="s">
        <v>92</v>
      </c>
      <c r="Z58" s="3">
        <v>100</v>
      </c>
      <c r="AA58" s="3">
        <v>2000000</v>
      </c>
      <c r="AB58" s="3">
        <v>250</v>
      </c>
      <c r="AC58" s="3">
        <v>0</v>
      </c>
      <c r="AD58" s="3">
        <v>650000</v>
      </c>
      <c r="AE58" s="3">
        <v>20</v>
      </c>
      <c r="AF58" s="3">
        <v>0</v>
      </c>
      <c r="AG58" s="3" t="s">
        <v>93</v>
      </c>
      <c r="AH58" s="3" t="s">
        <v>93</v>
      </c>
      <c r="AI58" s="3" t="s">
        <v>94</v>
      </c>
      <c r="AJ58" s="3" t="s">
        <v>93</v>
      </c>
      <c r="AK58" s="3" t="s">
        <v>93</v>
      </c>
      <c r="AL58" s="3" t="s">
        <v>93</v>
      </c>
      <c r="AM58" s="3" t="s">
        <v>94</v>
      </c>
      <c r="AN58" s="3" t="s">
        <v>93</v>
      </c>
      <c r="AO58" s="3" t="s">
        <v>93</v>
      </c>
      <c r="AP58" s="3" t="s">
        <v>93</v>
      </c>
      <c r="AQ58" s="3" t="s">
        <v>93</v>
      </c>
      <c r="AR58" s="3" t="s">
        <v>93</v>
      </c>
      <c r="AS58" s="3" t="s">
        <v>93</v>
      </c>
      <c r="AT58" s="3" t="s">
        <v>93</v>
      </c>
      <c r="AU58" s="3" t="s">
        <v>93</v>
      </c>
      <c r="AV58" s="3" t="s">
        <v>93</v>
      </c>
      <c r="AW58" s="3" t="s">
        <v>94</v>
      </c>
      <c r="AX58" s="3" t="s">
        <v>93</v>
      </c>
      <c r="AY58" s="3" t="s">
        <v>93</v>
      </c>
      <c r="AZ58" s="3" t="s">
        <v>94</v>
      </c>
      <c r="BA58" s="3" t="s">
        <v>93</v>
      </c>
      <c r="BB58" s="3" t="s">
        <v>93</v>
      </c>
      <c r="BC58" s="3">
        <v>3</v>
      </c>
      <c r="BD58" s="3">
        <v>3</v>
      </c>
      <c r="BE58" s="3">
        <v>4</v>
      </c>
      <c r="BF58" s="3">
        <v>3</v>
      </c>
      <c r="BG58" s="3">
        <v>2</v>
      </c>
      <c r="BH58" s="3">
        <v>2</v>
      </c>
      <c r="BI58" s="3">
        <v>3</v>
      </c>
      <c r="BJ58" s="3">
        <v>3</v>
      </c>
      <c r="BK58" s="3">
        <v>2</v>
      </c>
      <c r="BL58" s="3">
        <v>3</v>
      </c>
      <c r="BM58" s="3">
        <v>4</v>
      </c>
      <c r="BN58" s="3">
        <v>3</v>
      </c>
      <c r="BO58" s="3">
        <v>3</v>
      </c>
      <c r="BP58" s="3">
        <v>3</v>
      </c>
      <c r="BQ58" s="3">
        <v>4</v>
      </c>
      <c r="BR58" s="3">
        <v>4</v>
      </c>
      <c r="BS58" s="3">
        <v>3</v>
      </c>
      <c r="BT58" s="3">
        <v>4</v>
      </c>
      <c r="BU58" s="3">
        <v>3</v>
      </c>
      <c r="BV58" s="3">
        <v>2</v>
      </c>
      <c r="BW58" s="3">
        <v>3</v>
      </c>
      <c r="BX58" s="3">
        <v>2</v>
      </c>
      <c r="BY58" s="3">
        <v>4</v>
      </c>
      <c r="BZ58" s="3">
        <v>1</v>
      </c>
      <c r="CA58" s="3">
        <v>3</v>
      </c>
      <c r="CB58" s="3">
        <v>4</v>
      </c>
      <c r="CC58" s="3">
        <v>3</v>
      </c>
      <c r="CD58" s="3">
        <v>4</v>
      </c>
      <c r="CE58" s="3" t="s">
        <v>145</v>
      </c>
      <c r="CF58" s="3">
        <v>18</v>
      </c>
      <c r="CG58" s="3">
        <v>28</v>
      </c>
      <c r="CH58" s="3">
        <v>57</v>
      </c>
      <c r="CI58" s="6">
        <f>COUNTIF(AG58:BB58, "Dispone")/22</f>
        <v>0.81818181818181823</v>
      </c>
      <c r="CJ58" s="7">
        <f>AVERAGE(BC58:BL58)</f>
        <v>2.8</v>
      </c>
      <c r="CK58" s="15">
        <f>AVERAGE(BM58:CD58)</f>
        <v>3.1666666666666665</v>
      </c>
      <c r="CL58" s="9" t="str">
        <f>IF(AND(CI58&gt;50%, CJ58&gt;2.5, CK58&gt;2.5), "Compromiso", "")</f>
        <v>Compromiso</v>
      </c>
      <c r="CM58" s="9" t="str">
        <f>IF(AND(CI58&gt;75%, CJ58&gt;4, CK58&gt;4), "Liderazgo", "")</f>
        <v/>
      </c>
      <c r="CN58" s="9" t="str">
        <f>IF(AND(CI58&gt;90%, CJ58&gt;4.5, CK58&gt;4.5), "Transformación", "")</f>
        <v/>
      </c>
      <c r="CO58" s="9" t="s">
        <v>95</v>
      </c>
      <c r="CP58" s="3" t="s">
        <v>103</v>
      </c>
    </row>
    <row r="59" spans="1:155" ht="17.25" customHeight="1" x14ac:dyDescent="0.25">
      <c r="A59" s="12">
        <v>45944.908043981479</v>
      </c>
      <c r="B59" s="12">
        <v>45944.998738425929</v>
      </c>
      <c r="C59" s="9" t="s">
        <v>96</v>
      </c>
      <c r="D59" s="9" t="s">
        <v>355</v>
      </c>
      <c r="E59" s="13">
        <v>7836</v>
      </c>
      <c r="F59" s="9" t="s">
        <v>105</v>
      </c>
      <c r="G59" s="12">
        <v>45944.998751076389</v>
      </c>
      <c r="H59" s="9" t="s">
        <v>356</v>
      </c>
      <c r="I59" s="13">
        <v>-11.949</v>
      </c>
      <c r="J59" s="13">
        <v>-77.064099999999996</v>
      </c>
      <c r="K59" s="9" t="s">
        <v>98</v>
      </c>
      <c r="L59" s="9" t="s">
        <v>357</v>
      </c>
      <c r="M59" s="3" t="s">
        <v>358</v>
      </c>
      <c r="N59" s="9" t="s">
        <v>359</v>
      </c>
      <c r="O59" s="3" t="s">
        <v>935</v>
      </c>
      <c r="P59" s="9" t="s">
        <v>360</v>
      </c>
      <c r="Q59" s="9" t="s">
        <v>117</v>
      </c>
      <c r="R59" s="3">
        <v>1859</v>
      </c>
      <c r="S59" s="3">
        <v>1081</v>
      </c>
      <c r="T59" s="3">
        <v>9910</v>
      </c>
      <c r="U59" s="3">
        <v>549</v>
      </c>
      <c r="V59" s="3">
        <v>5141</v>
      </c>
      <c r="W59" s="9" t="s">
        <v>118</v>
      </c>
      <c r="X59" s="3">
        <v>0.99</v>
      </c>
      <c r="Y59" s="9" t="s">
        <v>92</v>
      </c>
      <c r="Z59" s="3">
        <v>118</v>
      </c>
      <c r="AA59" s="3">
        <v>1300000</v>
      </c>
      <c r="AB59" s="3">
        <v>0</v>
      </c>
      <c r="AC59" s="3">
        <v>0</v>
      </c>
      <c r="AD59" s="3">
        <v>47443</v>
      </c>
      <c r="AE59" s="3">
        <v>18</v>
      </c>
      <c r="AF59" s="3">
        <v>8347630</v>
      </c>
      <c r="AG59" s="9" t="s">
        <v>93</v>
      </c>
      <c r="AH59" s="9" t="s">
        <v>93</v>
      </c>
      <c r="AI59" s="9" t="s">
        <v>93</v>
      </c>
      <c r="AJ59" s="9" t="s">
        <v>93</v>
      </c>
      <c r="AK59" s="9" t="s">
        <v>93</v>
      </c>
      <c r="AL59" s="9" t="s">
        <v>94</v>
      </c>
      <c r="AM59" s="9" t="s">
        <v>93</v>
      </c>
      <c r="AN59" s="9" t="s">
        <v>93</v>
      </c>
      <c r="AO59" s="9" t="s">
        <v>93</v>
      </c>
      <c r="AP59" s="9" t="s">
        <v>93</v>
      </c>
      <c r="AQ59" s="9" t="s">
        <v>93</v>
      </c>
      <c r="AR59" s="9" t="s">
        <v>93</v>
      </c>
      <c r="AS59" s="9" t="s">
        <v>93</v>
      </c>
      <c r="AT59" s="9" t="s">
        <v>94</v>
      </c>
      <c r="AU59" s="9" t="s">
        <v>93</v>
      </c>
      <c r="AV59" s="9" t="s">
        <v>93</v>
      </c>
      <c r="AW59" s="9" t="s">
        <v>93</v>
      </c>
      <c r="AX59" s="9" t="s">
        <v>94</v>
      </c>
      <c r="AY59" s="9" t="s">
        <v>93</v>
      </c>
      <c r="AZ59" s="9" t="s">
        <v>93</v>
      </c>
      <c r="BA59" s="9" t="s">
        <v>93</v>
      </c>
      <c r="BB59" s="9" t="s">
        <v>93</v>
      </c>
      <c r="BC59" s="11">
        <v>4</v>
      </c>
      <c r="BD59" s="11">
        <v>4</v>
      </c>
      <c r="BE59" s="11">
        <v>5</v>
      </c>
      <c r="BF59" s="11">
        <v>5</v>
      </c>
      <c r="BG59" s="11">
        <v>5</v>
      </c>
      <c r="BH59" s="11">
        <v>2</v>
      </c>
      <c r="BI59" s="11">
        <v>5</v>
      </c>
      <c r="BJ59" s="11">
        <v>5</v>
      </c>
      <c r="BK59" s="11">
        <v>2</v>
      </c>
      <c r="BL59" s="11">
        <v>1</v>
      </c>
      <c r="BM59" s="11">
        <v>5</v>
      </c>
      <c r="BN59" s="11">
        <v>5</v>
      </c>
      <c r="BO59" s="11">
        <v>5</v>
      </c>
      <c r="BP59" s="11">
        <v>5</v>
      </c>
      <c r="BQ59" s="11">
        <v>5</v>
      </c>
      <c r="BR59" s="11">
        <v>5</v>
      </c>
      <c r="BS59" s="11">
        <v>5</v>
      </c>
      <c r="BT59" s="11">
        <v>5</v>
      </c>
      <c r="BU59" s="11">
        <v>5</v>
      </c>
      <c r="BV59" s="11">
        <v>5</v>
      </c>
      <c r="BW59" s="11">
        <v>3</v>
      </c>
      <c r="BX59" s="11">
        <v>5</v>
      </c>
      <c r="BY59" s="11">
        <v>5</v>
      </c>
      <c r="BZ59" s="11">
        <v>5</v>
      </c>
      <c r="CA59" s="11">
        <v>5</v>
      </c>
      <c r="CB59" s="11">
        <v>5</v>
      </c>
      <c r="CC59" s="11">
        <v>5</v>
      </c>
      <c r="CD59" s="11">
        <v>5</v>
      </c>
      <c r="CE59" s="9" t="s">
        <v>361</v>
      </c>
      <c r="CF59" s="3">
        <v>19</v>
      </c>
      <c r="CG59" s="3">
        <v>38</v>
      </c>
      <c r="CH59" s="3">
        <v>88</v>
      </c>
      <c r="CI59" s="6">
        <f>COUNTIF(AG59:BB59, "Dispone")/22</f>
        <v>0.86363636363636365</v>
      </c>
      <c r="CJ59" s="7">
        <f>AVERAGE(BC59:BL59)</f>
        <v>3.8</v>
      </c>
      <c r="CK59" s="15">
        <f>AVERAGE(BM59:CD59)</f>
        <v>4.8888888888888893</v>
      </c>
      <c r="CL59" s="9" t="str">
        <f>IF(AND(CI59&gt;50%, CJ59&gt;2.5, CK59&gt;2.5), "Compromiso", "")</f>
        <v>Compromiso</v>
      </c>
      <c r="CM59" s="9" t="str">
        <f>IF(AND(CI59&gt;75%, CJ59&gt;4, CK59&gt;4), "Liderazgo", "")</f>
        <v/>
      </c>
      <c r="CN59" s="9" t="str">
        <f>IF(AND(CI59&gt;90%, CJ59&gt;4.5, CK59&gt;4.5), "Transformación", "")</f>
        <v/>
      </c>
      <c r="CO59" s="9" t="s">
        <v>95</v>
      </c>
      <c r="CP59" s="3" t="s">
        <v>132</v>
      </c>
    </row>
    <row r="60" spans="1:155" ht="17.25" customHeight="1" x14ac:dyDescent="0.25">
      <c r="A60" s="10">
        <v>45992.806944444441</v>
      </c>
      <c r="B60" s="10">
        <v>45992.895138888889</v>
      </c>
      <c r="C60" s="3" t="s">
        <v>96</v>
      </c>
      <c r="D60" s="3" t="s">
        <v>161</v>
      </c>
      <c r="E60" s="3">
        <v>7627</v>
      </c>
      <c r="F60" s="3" t="b">
        <v>1</v>
      </c>
      <c r="G60" s="10">
        <v>45992.895138888889</v>
      </c>
      <c r="H60" s="3" t="s">
        <v>162</v>
      </c>
      <c r="I60" s="3">
        <v>-2.2038000000000002</v>
      </c>
      <c r="J60" s="3">
        <v>-79.881900000000002</v>
      </c>
      <c r="K60" s="3" t="s">
        <v>98</v>
      </c>
      <c r="L60" s="3" t="s">
        <v>163</v>
      </c>
      <c r="M60" s="3" t="s">
        <v>164</v>
      </c>
      <c r="N60" s="3" t="s">
        <v>165</v>
      </c>
      <c r="O60" s="3" t="s">
        <v>936</v>
      </c>
      <c r="Q60" s="3" t="s">
        <v>130</v>
      </c>
      <c r="R60" s="3">
        <v>1971</v>
      </c>
      <c r="S60" s="3">
        <v>4660</v>
      </c>
      <c r="T60" s="3">
        <v>36287</v>
      </c>
      <c r="U60" s="3">
        <v>0</v>
      </c>
      <c r="V60" s="3">
        <v>0</v>
      </c>
      <c r="W60" s="3" t="s">
        <v>118</v>
      </c>
      <c r="X60" s="3">
        <v>0</v>
      </c>
      <c r="Y60" s="3" t="s">
        <v>153</v>
      </c>
      <c r="Z60" s="3">
        <v>41</v>
      </c>
      <c r="AA60" s="3">
        <v>45569473</v>
      </c>
      <c r="AB60" s="3">
        <v>3336</v>
      </c>
      <c r="AC60" s="3">
        <v>10</v>
      </c>
      <c r="AD60" s="3">
        <v>207362</v>
      </c>
      <c r="AE60" s="3">
        <v>0</v>
      </c>
      <c r="AF60" s="3">
        <v>1649949</v>
      </c>
      <c r="AG60" s="3" t="s">
        <v>93</v>
      </c>
      <c r="AH60" s="3" t="s">
        <v>93</v>
      </c>
      <c r="AI60" s="3" t="s">
        <v>94</v>
      </c>
      <c r="AJ60" s="3" t="s">
        <v>93</v>
      </c>
      <c r="AK60" s="3" t="s">
        <v>93</v>
      </c>
      <c r="AL60" s="3" t="s">
        <v>93</v>
      </c>
      <c r="AM60" s="3" t="s">
        <v>93</v>
      </c>
      <c r="AN60" s="3" t="s">
        <v>93</v>
      </c>
      <c r="AO60" s="3" t="s">
        <v>93</v>
      </c>
      <c r="AP60" s="3" t="s">
        <v>93</v>
      </c>
      <c r="AQ60" s="3" t="s">
        <v>94</v>
      </c>
      <c r="AR60" s="3" t="s">
        <v>93</v>
      </c>
      <c r="AS60" s="3" t="s">
        <v>93</v>
      </c>
      <c r="AT60" s="3" t="s">
        <v>93</v>
      </c>
      <c r="AU60" s="3" t="s">
        <v>93</v>
      </c>
      <c r="AV60" s="3" t="s">
        <v>93</v>
      </c>
      <c r="AW60" s="3" t="s">
        <v>93</v>
      </c>
      <c r="AX60" s="3" t="s">
        <v>94</v>
      </c>
      <c r="AY60" s="3" t="s">
        <v>94</v>
      </c>
      <c r="AZ60" s="3" t="s">
        <v>94</v>
      </c>
      <c r="BA60" s="3" t="s">
        <v>93</v>
      </c>
      <c r="BB60" s="3" t="s">
        <v>93</v>
      </c>
      <c r="BC60" s="3">
        <v>4</v>
      </c>
      <c r="BD60" s="3">
        <v>4</v>
      </c>
      <c r="BE60" s="3">
        <v>4</v>
      </c>
      <c r="BF60" s="3">
        <v>3</v>
      </c>
      <c r="BG60" s="3">
        <v>4</v>
      </c>
      <c r="BH60" s="3">
        <v>5</v>
      </c>
      <c r="BI60" s="3">
        <v>3</v>
      </c>
      <c r="BJ60" s="3">
        <v>5</v>
      </c>
      <c r="BK60" s="3">
        <v>3</v>
      </c>
      <c r="BL60" s="3">
        <v>4</v>
      </c>
      <c r="BM60" s="3">
        <v>4</v>
      </c>
      <c r="BN60" s="3">
        <v>4</v>
      </c>
      <c r="BO60" s="3">
        <v>4</v>
      </c>
      <c r="BP60" s="3">
        <v>2</v>
      </c>
      <c r="BQ60" s="3">
        <v>2</v>
      </c>
      <c r="BR60" s="3">
        <v>1</v>
      </c>
      <c r="BS60" s="3">
        <v>5</v>
      </c>
      <c r="BT60" s="3">
        <v>5</v>
      </c>
      <c r="BU60" s="3">
        <v>5</v>
      </c>
      <c r="BV60" s="3">
        <v>5</v>
      </c>
      <c r="BW60" s="3">
        <v>4</v>
      </c>
      <c r="BX60" s="3">
        <v>4</v>
      </c>
      <c r="BY60" s="3">
        <v>5</v>
      </c>
      <c r="BZ60" s="3">
        <v>5</v>
      </c>
      <c r="CA60" s="3">
        <v>5</v>
      </c>
      <c r="CB60" s="3">
        <v>3</v>
      </c>
      <c r="CC60" s="3">
        <v>3</v>
      </c>
      <c r="CD60" s="3">
        <v>5</v>
      </c>
      <c r="CE60" s="3" t="s">
        <v>166</v>
      </c>
      <c r="CF60" s="3">
        <v>17</v>
      </c>
      <c r="CG60" s="3">
        <v>39</v>
      </c>
      <c r="CH60" s="3">
        <v>71</v>
      </c>
      <c r="CI60" s="6">
        <f>COUNTIF(AG60:BB60, "Dispone")/22</f>
        <v>0.77272727272727271</v>
      </c>
      <c r="CJ60" s="7">
        <f>AVERAGE(BC60:BL60)</f>
        <v>3.9</v>
      </c>
      <c r="CK60" s="15">
        <f>AVERAGE(BM60:CD60)</f>
        <v>3.9444444444444446</v>
      </c>
      <c r="CL60" s="9" t="str">
        <f>IF(AND(CI60&gt;50%, CJ60&gt;2.5, CK60&gt;2.5), "Compromiso", "")</f>
        <v>Compromiso</v>
      </c>
      <c r="CM60" s="9" t="str">
        <f>IF(AND(CI60&gt;75%, CJ60&gt;4, CK60&gt;4), "Liderazgo", "")</f>
        <v/>
      </c>
      <c r="CN60" s="9" t="str">
        <f>IF(AND(CI60&gt;90%, CJ60&gt;4.5, CK60&gt;4.5), "Transformación", "")</f>
        <v/>
      </c>
      <c r="CO60" s="9" t="s">
        <v>95</v>
      </c>
      <c r="CP60" s="3" t="s">
        <v>95</v>
      </c>
    </row>
    <row r="61" spans="1:155" ht="17.25" customHeight="1" x14ac:dyDescent="0.25">
      <c r="A61" s="12">
        <v>45904.614618055559</v>
      </c>
      <c r="B61" s="12">
        <v>45904.697395833333</v>
      </c>
      <c r="C61" s="9" t="s">
        <v>96</v>
      </c>
      <c r="D61" s="9" t="s">
        <v>749</v>
      </c>
      <c r="E61" s="13">
        <v>7151</v>
      </c>
      <c r="F61" s="9" t="s">
        <v>105</v>
      </c>
      <c r="G61" s="12">
        <v>45904.697413564812</v>
      </c>
      <c r="H61" s="9" t="s">
        <v>750</v>
      </c>
      <c r="I61" s="13">
        <v>-8.0008999999999997</v>
      </c>
      <c r="J61" s="13">
        <v>-34.868699999999997</v>
      </c>
      <c r="K61" s="9" t="s">
        <v>113</v>
      </c>
      <c r="L61" s="9" t="s">
        <v>751</v>
      </c>
      <c r="M61" s="3" t="s">
        <v>752</v>
      </c>
      <c r="N61" s="9" t="s">
        <v>753</v>
      </c>
      <c r="O61" s="3" t="s">
        <v>937</v>
      </c>
      <c r="P61" s="9" t="s">
        <v>754</v>
      </c>
      <c r="Q61" s="9" t="s">
        <v>90</v>
      </c>
      <c r="R61" s="3">
        <v>2008</v>
      </c>
      <c r="S61" s="3">
        <v>1500</v>
      </c>
      <c r="T61" s="3">
        <v>3000</v>
      </c>
      <c r="U61" s="3">
        <v>200</v>
      </c>
      <c r="V61" s="3">
        <v>200</v>
      </c>
      <c r="W61" s="9" t="s">
        <v>118</v>
      </c>
      <c r="X61" s="3">
        <v>5</v>
      </c>
      <c r="Y61" s="9" t="s">
        <v>92</v>
      </c>
      <c r="Z61" s="3">
        <v>100</v>
      </c>
      <c r="AA61" s="3">
        <v>1</v>
      </c>
      <c r="AB61" s="3">
        <v>1</v>
      </c>
      <c r="AC61" s="3">
        <v>1</v>
      </c>
      <c r="AD61" s="3">
        <v>1</v>
      </c>
      <c r="AE61" s="3">
        <v>1</v>
      </c>
      <c r="AF61" s="3">
        <v>1</v>
      </c>
      <c r="AG61" s="9" t="s">
        <v>93</v>
      </c>
      <c r="AH61" s="9" t="s">
        <v>93</v>
      </c>
      <c r="AI61" s="9" t="s">
        <v>93</v>
      </c>
      <c r="AJ61" s="9" t="s">
        <v>93</v>
      </c>
      <c r="AK61" s="9" t="s">
        <v>93</v>
      </c>
      <c r="AL61" s="9" t="s">
        <v>93</v>
      </c>
      <c r="AM61" s="9" t="s">
        <v>93</v>
      </c>
      <c r="AN61" s="9" t="s">
        <v>93</v>
      </c>
      <c r="AO61" s="9" t="s">
        <v>93</v>
      </c>
      <c r="AP61" s="9" t="s">
        <v>93</v>
      </c>
      <c r="AQ61" s="9" t="s">
        <v>93</v>
      </c>
      <c r="AR61" s="9" t="s">
        <v>93</v>
      </c>
      <c r="AS61" s="9" t="s">
        <v>93</v>
      </c>
      <c r="AT61" s="9" t="s">
        <v>93</v>
      </c>
      <c r="AU61" s="9" t="s">
        <v>93</v>
      </c>
      <c r="AV61" s="9" t="s">
        <v>93</v>
      </c>
      <c r="AW61" s="9" t="s">
        <v>93</v>
      </c>
      <c r="AX61" s="9" t="s">
        <v>93</v>
      </c>
      <c r="AY61" s="9" t="s">
        <v>93</v>
      </c>
      <c r="AZ61" s="9" t="s">
        <v>93</v>
      </c>
      <c r="BA61" s="9" t="s">
        <v>93</v>
      </c>
      <c r="BB61" s="9" t="s">
        <v>93</v>
      </c>
      <c r="BC61" s="11">
        <v>4</v>
      </c>
      <c r="BD61" s="11">
        <v>4</v>
      </c>
      <c r="BE61" s="11">
        <v>4</v>
      </c>
      <c r="BF61" s="11">
        <v>4</v>
      </c>
      <c r="BG61" s="11">
        <v>4</v>
      </c>
      <c r="BH61" s="11">
        <v>4</v>
      </c>
      <c r="BI61" s="11">
        <v>4</v>
      </c>
      <c r="BJ61" s="11">
        <v>4</v>
      </c>
      <c r="BK61" s="11">
        <v>4</v>
      </c>
      <c r="BL61" s="11">
        <v>4</v>
      </c>
      <c r="BM61" s="11">
        <v>1</v>
      </c>
      <c r="BN61" s="11">
        <v>1</v>
      </c>
      <c r="BO61" s="11">
        <v>1</v>
      </c>
      <c r="BP61" s="11">
        <v>1</v>
      </c>
      <c r="BQ61" s="11">
        <v>1</v>
      </c>
      <c r="BR61" s="11">
        <v>1</v>
      </c>
      <c r="BS61" s="11">
        <v>1</v>
      </c>
      <c r="BT61" s="11">
        <v>1</v>
      </c>
      <c r="BU61" s="11">
        <v>1</v>
      </c>
      <c r="BV61" s="11">
        <v>1</v>
      </c>
      <c r="BW61" s="11">
        <v>1</v>
      </c>
      <c r="BX61" s="11">
        <v>1</v>
      </c>
      <c r="BY61" s="11">
        <v>1</v>
      </c>
      <c r="BZ61" s="11">
        <v>1</v>
      </c>
      <c r="CA61" s="11">
        <v>1</v>
      </c>
      <c r="CB61" s="11">
        <v>1</v>
      </c>
      <c r="CC61" s="11">
        <v>1</v>
      </c>
      <c r="CD61" s="11">
        <v>1</v>
      </c>
      <c r="CE61" s="9"/>
      <c r="CF61" s="3">
        <v>22</v>
      </c>
      <c r="CG61" s="3">
        <v>40</v>
      </c>
      <c r="CH61" s="3">
        <v>18</v>
      </c>
      <c r="CI61" s="6">
        <f>COUNTIF(AG61:BB61, "Dispone")/22</f>
        <v>1</v>
      </c>
      <c r="CJ61" s="7">
        <f>AVERAGE(BC61:BL61)</f>
        <v>4</v>
      </c>
      <c r="CK61" s="15">
        <f>AVERAGE(BM61:CD61)</f>
        <v>1</v>
      </c>
      <c r="CL61" s="9" t="str">
        <f>IF(AND(CI61&gt;50%, CJ61&gt;2.5, CK61&gt;2.5), "Compromiso", "")</f>
        <v/>
      </c>
      <c r="CM61" s="9" t="str">
        <f>IF(AND(CI61&gt;75%, CJ61&gt;4, CK61&gt;4), "Liderazgo", "")</f>
        <v/>
      </c>
      <c r="CN61" s="9" t="str">
        <f>IF(AND(CI61&gt;90%, CJ61&gt;4.5, CK61&gt;4.5), "Transformación", "")</f>
        <v/>
      </c>
      <c r="CO61" s="9" t="s">
        <v>581</v>
      </c>
      <c r="CP61" s="3" t="s">
        <v>95</v>
      </c>
    </row>
    <row r="62" spans="1:155" ht="17.25" customHeight="1" x14ac:dyDescent="0.25">
      <c r="A62" s="16">
        <v>45971.52847222222</v>
      </c>
      <c r="B62" s="16">
        <v>45971.606249999997</v>
      </c>
      <c r="C62" s="3" t="s">
        <v>96</v>
      </c>
      <c r="D62" s="3" t="s">
        <v>539</v>
      </c>
      <c r="E62" s="3">
        <v>6723</v>
      </c>
      <c r="F62" s="3" t="b">
        <v>1</v>
      </c>
      <c r="G62" s="16">
        <v>45971.606249999997</v>
      </c>
      <c r="H62" s="3" t="s">
        <v>540</v>
      </c>
      <c r="I62" s="3">
        <v>43.204700000000003</v>
      </c>
      <c r="J62" s="3">
        <v>-7.4001999999999999</v>
      </c>
      <c r="K62" s="3" t="s">
        <v>98</v>
      </c>
      <c r="L62" s="3" t="s">
        <v>541</v>
      </c>
      <c r="M62" s="3" t="s">
        <v>542</v>
      </c>
      <c r="N62" s="3" t="s">
        <v>543</v>
      </c>
      <c r="O62" s="3" t="s">
        <v>938</v>
      </c>
      <c r="Q62" s="3" t="s">
        <v>231</v>
      </c>
      <c r="R62" s="3">
        <v>1994</v>
      </c>
      <c r="S62" s="3">
        <v>5611</v>
      </c>
      <c r="T62" s="3">
        <v>119081</v>
      </c>
      <c r="U62" s="3">
        <v>5772</v>
      </c>
      <c r="V62" s="3">
        <v>0</v>
      </c>
      <c r="W62" s="3" t="s">
        <v>91</v>
      </c>
      <c r="X62" s="3">
        <v>0</v>
      </c>
      <c r="Y62" s="3" t="s">
        <v>92</v>
      </c>
      <c r="Z62" s="3">
        <v>32</v>
      </c>
      <c r="AA62" s="3">
        <v>6250712</v>
      </c>
      <c r="AB62" s="3">
        <v>1559.1</v>
      </c>
      <c r="AC62" s="3">
        <v>7</v>
      </c>
      <c r="AD62" s="3">
        <v>70642</v>
      </c>
      <c r="AE62" s="3">
        <v>39</v>
      </c>
      <c r="AF62" s="3">
        <v>94210</v>
      </c>
      <c r="AG62" s="3" t="s">
        <v>94</v>
      </c>
      <c r="AH62" s="3" t="s">
        <v>93</v>
      </c>
      <c r="AI62" s="3" t="s">
        <v>93</v>
      </c>
      <c r="AJ62" s="3" t="s">
        <v>93</v>
      </c>
      <c r="AK62" s="3" t="s">
        <v>93</v>
      </c>
      <c r="AL62" s="3" t="s">
        <v>93</v>
      </c>
      <c r="AM62" s="3" t="s">
        <v>93</v>
      </c>
      <c r="AN62" s="3" t="s">
        <v>93</v>
      </c>
      <c r="AO62" s="3" t="s">
        <v>93</v>
      </c>
      <c r="AP62" s="3" t="s">
        <v>94</v>
      </c>
      <c r="AQ62" s="3" t="s">
        <v>94</v>
      </c>
      <c r="AR62" s="3" t="s">
        <v>93</v>
      </c>
      <c r="AS62" s="3" t="s">
        <v>93</v>
      </c>
      <c r="AT62" s="3" t="s">
        <v>93</v>
      </c>
      <c r="AU62" s="3" t="s">
        <v>93</v>
      </c>
      <c r="AV62" s="3" t="s">
        <v>94</v>
      </c>
      <c r="AW62" s="3" t="s">
        <v>93</v>
      </c>
      <c r="AX62" s="3" t="s">
        <v>93</v>
      </c>
      <c r="AY62" s="3" t="s">
        <v>93</v>
      </c>
      <c r="AZ62" s="3" t="s">
        <v>93</v>
      </c>
      <c r="BA62" s="3" t="s">
        <v>93</v>
      </c>
      <c r="BB62" s="3" t="s">
        <v>93</v>
      </c>
      <c r="BC62" s="3">
        <v>5</v>
      </c>
      <c r="BD62" s="3">
        <v>5</v>
      </c>
      <c r="BE62" s="3">
        <v>4</v>
      </c>
      <c r="BF62" s="3">
        <v>5</v>
      </c>
      <c r="BG62" s="3">
        <v>5</v>
      </c>
      <c r="BH62" s="3">
        <v>5</v>
      </c>
      <c r="BI62" s="3">
        <v>3</v>
      </c>
      <c r="BJ62" s="3">
        <v>5</v>
      </c>
      <c r="BK62" s="3">
        <v>5</v>
      </c>
      <c r="BL62" s="3">
        <v>5</v>
      </c>
      <c r="BM62" s="3">
        <v>5</v>
      </c>
      <c r="BN62" s="3">
        <v>5</v>
      </c>
      <c r="BO62" s="3">
        <v>5</v>
      </c>
      <c r="BP62" s="3">
        <v>4</v>
      </c>
      <c r="BQ62" s="3">
        <v>5</v>
      </c>
      <c r="BR62" s="3">
        <v>4</v>
      </c>
      <c r="BS62" s="3">
        <v>5</v>
      </c>
      <c r="BT62" s="3">
        <v>5</v>
      </c>
      <c r="BU62" s="3">
        <v>5</v>
      </c>
      <c r="BV62" s="3">
        <v>5</v>
      </c>
      <c r="BW62" s="3">
        <v>5</v>
      </c>
      <c r="BX62" s="3">
        <v>5</v>
      </c>
      <c r="BY62" s="3">
        <v>4</v>
      </c>
      <c r="BZ62" s="3">
        <v>5</v>
      </c>
      <c r="CA62" s="3">
        <v>5</v>
      </c>
      <c r="CB62" s="3">
        <v>5</v>
      </c>
      <c r="CC62" s="3">
        <v>3</v>
      </c>
      <c r="CD62" s="3">
        <v>5</v>
      </c>
      <c r="CF62" s="3">
        <v>18</v>
      </c>
      <c r="CG62" s="3">
        <v>47</v>
      </c>
      <c r="CH62" s="3">
        <v>85</v>
      </c>
      <c r="CI62" s="6">
        <f>COUNTIF(AG62:BB62, "Dispone")/22</f>
        <v>0.81818181818181823</v>
      </c>
      <c r="CJ62" s="7">
        <f>AVERAGE(BC62:BL62)</f>
        <v>4.7</v>
      </c>
      <c r="CK62" s="15">
        <f>AVERAGE(BM62:CD62)</f>
        <v>4.7222222222222223</v>
      </c>
      <c r="CL62" s="9" t="str">
        <f>IF(AND(CI62&gt;50%, CJ62&gt;2.5, CK62&gt;2.5), "Compromiso", "")</f>
        <v>Compromiso</v>
      </c>
      <c r="CM62" s="9" t="str">
        <f>IF(AND(CI62&gt;75%, CJ62&gt;4, CK62&gt;4), "Liderazgo", "")</f>
        <v>Liderazgo</v>
      </c>
      <c r="CN62" s="9" t="str">
        <f>IF(AND(CI62&gt;90%, CJ62&gt;4.5, CK62&gt;4.5), "Transformación", "")</f>
        <v/>
      </c>
      <c r="CO62" s="9" t="s">
        <v>103</v>
      </c>
      <c r="CP62" s="3" t="s">
        <v>95</v>
      </c>
    </row>
    <row r="63" spans="1:155" ht="17.25" customHeight="1" x14ac:dyDescent="0.25">
      <c r="A63" s="12">
        <v>45898.835104166668</v>
      </c>
      <c r="B63" s="12">
        <v>45898.907754629632</v>
      </c>
      <c r="C63" s="9" t="s">
        <v>96</v>
      </c>
      <c r="D63" s="9" t="s">
        <v>368</v>
      </c>
      <c r="E63" s="13">
        <v>6277</v>
      </c>
      <c r="F63" s="9" t="s">
        <v>105</v>
      </c>
      <c r="G63" s="12">
        <v>45898.907770289348</v>
      </c>
      <c r="H63" s="9" t="s">
        <v>369</v>
      </c>
      <c r="I63" s="13">
        <v>-33.452100000000002</v>
      </c>
      <c r="J63" s="13">
        <v>-70.653599999999997</v>
      </c>
      <c r="K63" s="9" t="s">
        <v>98</v>
      </c>
      <c r="L63" s="9" t="s">
        <v>370</v>
      </c>
      <c r="M63" s="3" t="s">
        <v>371</v>
      </c>
      <c r="N63" s="9" t="s">
        <v>372</v>
      </c>
      <c r="O63" s="3" t="s">
        <v>939</v>
      </c>
      <c r="P63" s="9" t="s">
        <v>373</v>
      </c>
      <c r="Q63" s="9" t="s">
        <v>130</v>
      </c>
      <c r="R63" s="3">
        <v>1979</v>
      </c>
      <c r="S63" s="3">
        <v>1536</v>
      </c>
      <c r="T63" s="3">
        <v>9683</v>
      </c>
      <c r="U63" s="3">
        <v>712</v>
      </c>
      <c r="V63" s="3">
        <v>0</v>
      </c>
      <c r="W63" s="9" t="s">
        <v>118</v>
      </c>
      <c r="X63" s="3">
        <v>4.97</v>
      </c>
      <c r="Y63" s="9" t="s">
        <v>92</v>
      </c>
      <c r="Z63" s="3">
        <v>50</v>
      </c>
      <c r="AA63" s="3">
        <v>4900000</v>
      </c>
      <c r="AB63" s="3">
        <v>4678</v>
      </c>
      <c r="AC63" s="3">
        <v>93</v>
      </c>
      <c r="AD63" s="3">
        <v>94002</v>
      </c>
      <c r="AE63" s="3">
        <v>35</v>
      </c>
      <c r="AF63" s="3">
        <v>20000</v>
      </c>
      <c r="AG63" s="9" t="s">
        <v>93</v>
      </c>
      <c r="AH63" s="9" t="s">
        <v>93</v>
      </c>
      <c r="AI63" s="9" t="s">
        <v>93</v>
      </c>
      <c r="AJ63" s="9" t="s">
        <v>93</v>
      </c>
      <c r="AK63" s="9" t="s">
        <v>93</v>
      </c>
      <c r="AL63" s="9" t="s">
        <v>93</v>
      </c>
      <c r="AM63" s="9" t="s">
        <v>93</v>
      </c>
      <c r="AN63" s="9" t="s">
        <v>93</v>
      </c>
      <c r="AO63" s="9" t="s">
        <v>93</v>
      </c>
      <c r="AP63" s="9" t="s">
        <v>93</v>
      </c>
      <c r="AQ63" s="9" t="s">
        <v>94</v>
      </c>
      <c r="AR63" s="9" t="s">
        <v>93</v>
      </c>
      <c r="AS63" s="9" t="s">
        <v>93</v>
      </c>
      <c r="AT63" s="9" t="s">
        <v>93</v>
      </c>
      <c r="AU63" s="9" t="s">
        <v>93</v>
      </c>
      <c r="AV63" s="9" t="s">
        <v>93</v>
      </c>
      <c r="AW63" s="9" t="s">
        <v>93</v>
      </c>
      <c r="AX63" s="9" t="s">
        <v>94</v>
      </c>
      <c r="AY63" s="9" t="s">
        <v>93</v>
      </c>
      <c r="AZ63" s="9" t="s">
        <v>94</v>
      </c>
      <c r="BA63" s="9" t="s">
        <v>93</v>
      </c>
      <c r="BB63" s="9" t="s">
        <v>93</v>
      </c>
      <c r="BC63" s="11">
        <v>3</v>
      </c>
      <c r="BD63" s="11">
        <v>4</v>
      </c>
      <c r="BE63" s="11">
        <v>4</v>
      </c>
      <c r="BF63" s="11">
        <v>3</v>
      </c>
      <c r="BG63" s="11">
        <v>2</v>
      </c>
      <c r="BH63" s="11">
        <v>3</v>
      </c>
      <c r="BI63" s="11">
        <v>3</v>
      </c>
      <c r="BJ63" s="11">
        <v>5</v>
      </c>
      <c r="BK63" s="11">
        <v>2</v>
      </c>
      <c r="BL63" s="11">
        <v>4</v>
      </c>
      <c r="BM63" s="11">
        <v>4</v>
      </c>
      <c r="BN63" s="11">
        <v>4</v>
      </c>
      <c r="BO63" s="11">
        <v>4</v>
      </c>
      <c r="BP63" s="11">
        <v>4</v>
      </c>
      <c r="BQ63" s="11">
        <v>4</v>
      </c>
      <c r="BR63" s="11">
        <v>4</v>
      </c>
      <c r="BS63" s="11">
        <v>4</v>
      </c>
      <c r="BT63" s="11">
        <v>4</v>
      </c>
      <c r="BU63" s="11">
        <v>4</v>
      </c>
      <c r="BV63" s="11">
        <v>4</v>
      </c>
      <c r="BW63" s="11">
        <v>4</v>
      </c>
      <c r="BX63" s="11">
        <v>4</v>
      </c>
      <c r="BY63" s="11">
        <v>4</v>
      </c>
      <c r="BZ63" s="11">
        <v>5</v>
      </c>
      <c r="CA63" s="11">
        <v>4</v>
      </c>
      <c r="CB63" s="11">
        <v>5</v>
      </c>
      <c r="CC63" s="11">
        <v>3</v>
      </c>
      <c r="CD63" s="11">
        <v>4</v>
      </c>
      <c r="CE63" s="9"/>
      <c r="CF63" s="3">
        <v>19</v>
      </c>
      <c r="CG63" s="3">
        <v>33</v>
      </c>
      <c r="CH63" s="3">
        <v>73</v>
      </c>
      <c r="CI63" s="6">
        <f>COUNTIF(AG63:BB63, "Dispone")/22</f>
        <v>0.86363636363636365</v>
      </c>
      <c r="CJ63" s="7">
        <f>AVERAGE(BC63:BL63)</f>
        <v>3.3</v>
      </c>
      <c r="CK63" s="15">
        <f>AVERAGE(BM63:CD63)</f>
        <v>4.0555555555555554</v>
      </c>
      <c r="CL63" s="9" t="str">
        <f>IF(AND(CI63&gt;50%, CJ63&gt;2.5, CK63&gt;2.5), "Compromiso", "")</f>
        <v>Compromiso</v>
      </c>
      <c r="CM63" s="9" t="str">
        <f>IF(AND(CI63&gt;75%, CJ63&gt;4, CK63&gt;4), "Liderazgo", "")</f>
        <v/>
      </c>
      <c r="CN63" s="9" t="str">
        <f>IF(AND(CI63&gt;90%, CJ63&gt;4.5, CK63&gt;4.5), "Transformación", "")</f>
        <v/>
      </c>
      <c r="CO63" s="9" t="s">
        <v>95</v>
      </c>
      <c r="CP63" s="3" t="s">
        <v>132</v>
      </c>
    </row>
    <row r="64" spans="1:155" ht="17.25" customHeight="1" x14ac:dyDescent="0.25">
      <c r="A64" s="12">
        <v>45896.026469907411</v>
      </c>
      <c r="B64" s="12">
        <v>45896.098182870373</v>
      </c>
      <c r="C64" s="9" t="s">
        <v>96</v>
      </c>
      <c r="D64" s="9" t="s">
        <v>719</v>
      </c>
      <c r="E64" s="13">
        <v>6196</v>
      </c>
      <c r="F64" s="9" t="s">
        <v>105</v>
      </c>
      <c r="G64" s="12">
        <v>45896.098200324072</v>
      </c>
      <c r="H64" s="9" t="s">
        <v>720</v>
      </c>
      <c r="I64" s="13">
        <v>-25.502600000000001</v>
      </c>
      <c r="J64" s="13">
        <v>-49.290799999999997</v>
      </c>
      <c r="K64" s="9" t="s">
        <v>98</v>
      </c>
      <c r="L64" s="9" t="s">
        <v>721</v>
      </c>
      <c r="M64" s="3" t="s">
        <v>722</v>
      </c>
      <c r="N64" s="9" t="s">
        <v>723</v>
      </c>
      <c r="O64" s="3" t="s">
        <v>642</v>
      </c>
      <c r="P64" s="9" t="s">
        <v>724</v>
      </c>
      <c r="Q64" s="9" t="s">
        <v>144</v>
      </c>
      <c r="R64" s="3">
        <v>1998</v>
      </c>
      <c r="S64" s="3">
        <v>281</v>
      </c>
      <c r="T64" s="3">
        <v>3234</v>
      </c>
      <c r="U64" s="3">
        <v>0</v>
      </c>
      <c r="V64" s="3">
        <v>8</v>
      </c>
      <c r="W64" s="9" t="s">
        <v>118</v>
      </c>
      <c r="X64" s="3">
        <v>1</v>
      </c>
      <c r="Y64" s="9" t="s">
        <v>92</v>
      </c>
      <c r="Z64" s="3">
        <v>17</v>
      </c>
      <c r="AA64" s="3">
        <v>136450</v>
      </c>
      <c r="AB64" s="3">
        <v>70115</v>
      </c>
      <c r="AC64" s="3">
        <v>366</v>
      </c>
      <c r="AD64" s="3">
        <v>12500</v>
      </c>
      <c r="AE64" s="3">
        <v>116120</v>
      </c>
      <c r="AF64" s="3">
        <v>0</v>
      </c>
      <c r="AG64" s="9" t="s">
        <v>94</v>
      </c>
      <c r="AH64" s="9" t="s">
        <v>93</v>
      </c>
      <c r="AI64" s="9" t="s">
        <v>94</v>
      </c>
      <c r="AJ64" s="9" t="s">
        <v>93</v>
      </c>
      <c r="AK64" s="9" t="s">
        <v>94</v>
      </c>
      <c r="AL64" s="9" t="s">
        <v>94</v>
      </c>
      <c r="AM64" s="9" t="s">
        <v>93</v>
      </c>
      <c r="AN64" s="9" t="s">
        <v>93</v>
      </c>
      <c r="AO64" s="9" t="s">
        <v>93</v>
      </c>
      <c r="AP64" s="9" t="s">
        <v>93</v>
      </c>
      <c r="AQ64" s="9" t="s">
        <v>94</v>
      </c>
      <c r="AR64" s="9" t="s">
        <v>93</v>
      </c>
      <c r="AS64" s="9" t="s">
        <v>93</v>
      </c>
      <c r="AT64" s="9" t="s">
        <v>94</v>
      </c>
      <c r="AU64" s="9" t="s">
        <v>94</v>
      </c>
      <c r="AV64" s="9" t="s">
        <v>93</v>
      </c>
      <c r="AW64" s="9" t="s">
        <v>94</v>
      </c>
      <c r="AX64" s="9" t="s">
        <v>94</v>
      </c>
      <c r="AY64" s="9" t="s">
        <v>94</v>
      </c>
      <c r="AZ64" s="9" t="s">
        <v>94</v>
      </c>
      <c r="BA64" s="9" t="s">
        <v>93</v>
      </c>
      <c r="BB64" s="9" t="s">
        <v>93</v>
      </c>
      <c r="BC64" s="11">
        <v>3</v>
      </c>
      <c r="BD64" s="11">
        <v>3</v>
      </c>
      <c r="BE64" s="11">
        <v>2</v>
      </c>
      <c r="BF64" s="11">
        <v>2</v>
      </c>
      <c r="BG64" s="11">
        <v>3</v>
      </c>
      <c r="BH64" s="11">
        <v>2</v>
      </c>
      <c r="BI64" s="11">
        <v>1</v>
      </c>
      <c r="BJ64" s="11">
        <v>2</v>
      </c>
      <c r="BK64" s="11">
        <v>2</v>
      </c>
      <c r="BL64" s="11">
        <v>1</v>
      </c>
      <c r="BM64" s="11">
        <v>5</v>
      </c>
      <c r="BN64" s="11">
        <v>5</v>
      </c>
      <c r="BO64" s="11">
        <v>5</v>
      </c>
      <c r="BP64" s="11">
        <v>1</v>
      </c>
      <c r="BQ64" s="11">
        <v>2</v>
      </c>
      <c r="BR64" s="11">
        <v>5</v>
      </c>
      <c r="BS64" s="11">
        <v>1</v>
      </c>
      <c r="BT64" s="11">
        <v>3</v>
      </c>
      <c r="BU64" s="11">
        <v>1</v>
      </c>
      <c r="BV64" s="11">
        <v>1</v>
      </c>
      <c r="BW64" s="11">
        <v>1</v>
      </c>
      <c r="BX64" s="11">
        <v>1</v>
      </c>
      <c r="BY64" s="11">
        <v>5</v>
      </c>
      <c r="BZ64" s="11">
        <v>5</v>
      </c>
      <c r="CA64" s="11">
        <v>3</v>
      </c>
      <c r="CB64" s="11">
        <v>5</v>
      </c>
      <c r="CC64" s="11">
        <v>3</v>
      </c>
      <c r="CD64" s="11">
        <v>5</v>
      </c>
      <c r="CE64" s="9"/>
      <c r="CF64" s="3">
        <v>11</v>
      </c>
      <c r="CG64" s="3">
        <v>21</v>
      </c>
      <c r="CH64" s="3">
        <v>57</v>
      </c>
      <c r="CI64" s="6">
        <f>COUNTIF(AG64:BB64, "Dispone")/22</f>
        <v>0.5</v>
      </c>
      <c r="CJ64" s="7">
        <f>AVERAGE(BC64:BL64)</f>
        <v>2.1</v>
      </c>
      <c r="CK64" s="15">
        <f>AVERAGE(BM64:CD64)</f>
        <v>3.1666666666666665</v>
      </c>
      <c r="CL64" s="9" t="str">
        <f>IF(AND(CI64&gt;50%, CJ64&gt;2.5, CK64&gt;2.5), "Compromiso", "")</f>
        <v/>
      </c>
      <c r="CM64" s="9" t="str">
        <f>IF(AND(CI64&gt;75%, CJ64&gt;4, CK64&gt;4), "Liderazgo", "")</f>
        <v/>
      </c>
      <c r="CN64" s="9" t="str">
        <f>IF(AND(CI64&gt;90%, CJ64&gt;4.5, CK64&gt;4.5), "Transformación", "")</f>
        <v/>
      </c>
      <c r="CO64" s="9" t="s">
        <v>581</v>
      </c>
      <c r="CP64" s="3" t="s">
        <v>103</v>
      </c>
    </row>
    <row r="65" spans="1:94" ht="17.25" customHeight="1" x14ac:dyDescent="0.25">
      <c r="A65" s="16">
        <v>45960.472222222219</v>
      </c>
      <c r="B65" s="16">
        <v>45960.543055555558</v>
      </c>
      <c r="C65" s="3" t="s">
        <v>96</v>
      </c>
      <c r="D65" s="3" t="s">
        <v>725</v>
      </c>
      <c r="E65" s="3">
        <v>6136</v>
      </c>
      <c r="F65" s="3" t="b">
        <v>1</v>
      </c>
      <c r="G65" s="16">
        <v>45960.543055555558</v>
      </c>
      <c r="H65" s="3" t="s">
        <v>726</v>
      </c>
      <c r="I65" s="3">
        <v>36.590400000000002</v>
      </c>
      <c r="J65" s="3">
        <v>-6.2350000000000003</v>
      </c>
      <c r="K65" s="3" t="s">
        <v>98</v>
      </c>
      <c r="L65" s="3" t="s">
        <v>727</v>
      </c>
      <c r="M65" s="3" t="s">
        <v>728</v>
      </c>
      <c r="N65" s="3" t="s">
        <v>729</v>
      </c>
      <c r="O65" s="3" t="s">
        <v>940</v>
      </c>
      <c r="P65" s="3">
        <v>3491431515</v>
      </c>
      <c r="Q65" s="3" t="s">
        <v>206</v>
      </c>
      <c r="R65" s="3">
        <v>1957</v>
      </c>
      <c r="S65" s="3">
        <v>1400</v>
      </c>
      <c r="T65" s="3">
        <v>5770</v>
      </c>
      <c r="U65" s="3">
        <v>822</v>
      </c>
      <c r="V65" s="3">
        <v>168</v>
      </c>
      <c r="W65" s="3" t="s">
        <v>91</v>
      </c>
      <c r="X65" s="3">
        <v>0.21</v>
      </c>
      <c r="Y65" s="3" t="s">
        <v>92</v>
      </c>
      <c r="Z65" s="3">
        <v>5</v>
      </c>
      <c r="AA65" s="3">
        <v>0</v>
      </c>
      <c r="AB65" s="3">
        <v>0</v>
      </c>
      <c r="AC65" s="3">
        <v>0</v>
      </c>
      <c r="AD65" s="3">
        <v>0</v>
      </c>
      <c r="AE65" s="3">
        <v>0</v>
      </c>
      <c r="AF65" s="3">
        <v>0</v>
      </c>
      <c r="AG65" s="3" t="s">
        <v>93</v>
      </c>
      <c r="AH65" s="3" t="s">
        <v>93</v>
      </c>
      <c r="AI65" s="3" t="s">
        <v>94</v>
      </c>
      <c r="AJ65" s="3" t="s">
        <v>93</v>
      </c>
      <c r="AK65" s="3" t="s">
        <v>93</v>
      </c>
      <c r="AL65" s="3" t="s">
        <v>93</v>
      </c>
      <c r="AM65" s="3" t="s">
        <v>94</v>
      </c>
      <c r="AN65" s="3" t="s">
        <v>93</v>
      </c>
      <c r="AO65" s="3" t="s">
        <v>93</v>
      </c>
      <c r="AP65" s="3" t="s">
        <v>93</v>
      </c>
      <c r="AQ65" s="3" t="s">
        <v>94</v>
      </c>
      <c r="AR65" s="3" t="s">
        <v>93</v>
      </c>
      <c r="AS65" s="3" t="s">
        <v>93</v>
      </c>
      <c r="AT65" s="3" t="s">
        <v>94</v>
      </c>
      <c r="AU65" s="3" t="s">
        <v>93</v>
      </c>
      <c r="AV65" s="3" t="s">
        <v>93</v>
      </c>
      <c r="AW65" s="3" t="s">
        <v>94</v>
      </c>
      <c r="AX65" s="3" t="s">
        <v>94</v>
      </c>
      <c r="AY65" s="3" t="s">
        <v>94</v>
      </c>
      <c r="AZ65" s="3" t="s">
        <v>94</v>
      </c>
      <c r="BA65" s="3" t="s">
        <v>93</v>
      </c>
      <c r="BB65" s="3" t="s">
        <v>94</v>
      </c>
      <c r="BC65" s="3">
        <v>1</v>
      </c>
      <c r="BD65" s="3">
        <v>3</v>
      </c>
      <c r="BE65" s="3">
        <v>2</v>
      </c>
      <c r="BF65" s="3">
        <v>3</v>
      </c>
      <c r="BG65" s="3">
        <v>1</v>
      </c>
      <c r="BH65" s="3">
        <v>3</v>
      </c>
      <c r="BI65" s="3">
        <v>2</v>
      </c>
      <c r="BJ65" s="3">
        <v>3</v>
      </c>
      <c r="BK65" s="3">
        <v>3</v>
      </c>
      <c r="BL65" s="3">
        <v>2</v>
      </c>
      <c r="BM65" s="3">
        <v>5</v>
      </c>
      <c r="BN65" s="3">
        <v>5</v>
      </c>
      <c r="BO65" s="3">
        <v>5</v>
      </c>
      <c r="BP65" s="3">
        <v>3</v>
      </c>
      <c r="BQ65" s="3">
        <v>3</v>
      </c>
      <c r="BR65" s="3">
        <v>4</v>
      </c>
      <c r="BS65" s="3">
        <v>5</v>
      </c>
      <c r="BT65" s="3">
        <v>5</v>
      </c>
      <c r="BU65" s="3">
        <v>3</v>
      </c>
      <c r="BV65" s="3">
        <v>4</v>
      </c>
      <c r="BW65" s="3">
        <v>4</v>
      </c>
      <c r="BX65" s="3">
        <v>3</v>
      </c>
      <c r="BY65" s="3">
        <v>4</v>
      </c>
      <c r="BZ65" s="3">
        <v>5</v>
      </c>
      <c r="CA65" s="3">
        <v>5</v>
      </c>
      <c r="CB65" s="3">
        <v>3</v>
      </c>
      <c r="CC65" s="3">
        <v>5</v>
      </c>
      <c r="CD65" s="3">
        <v>3</v>
      </c>
      <c r="CE65" s="3" t="s">
        <v>730</v>
      </c>
      <c r="CF65" s="3">
        <v>13</v>
      </c>
      <c r="CG65" s="3">
        <v>23</v>
      </c>
      <c r="CH65" s="3">
        <v>74</v>
      </c>
      <c r="CI65" s="6">
        <f>COUNTIF(AG65:BB65, "Dispone")/22</f>
        <v>0.59090909090909094</v>
      </c>
      <c r="CJ65" s="7">
        <f>AVERAGE(BC65:BL65)</f>
        <v>2.2999999999999998</v>
      </c>
      <c r="CK65" s="15">
        <f>AVERAGE(BM65:CD65)</f>
        <v>4.1111111111111107</v>
      </c>
      <c r="CL65" s="9" t="str">
        <f>IF(AND(CI65&gt;50%, CJ65&gt;2.5, CK65&gt;2.5), "Compromiso", "")</f>
        <v/>
      </c>
      <c r="CM65" s="9" t="str">
        <f>IF(AND(CI65&gt;75%, CJ65&gt;4, CK65&gt;4), "Liderazgo", "")</f>
        <v/>
      </c>
      <c r="CN65" s="9" t="str">
        <f>IF(AND(CI65&gt;90%, CJ65&gt;4.5, CK65&gt;4.5), "Transformación", "")</f>
        <v/>
      </c>
      <c r="CO65" s="9" t="s">
        <v>581</v>
      </c>
      <c r="CP65" s="3" t="s">
        <v>146</v>
      </c>
    </row>
    <row r="66" spans="1:94" ht="17.25" customHeight="1" x14ac:dyDescent="0.25">
      <c r="A66" s="16">
        <v>45985.694444444445</v>
      </c>
      <c r="B66" s="16">
        <v>45985.765277777777</v>
      </c>
      <c r="C66" s="3" t="s">
        <v>96</v>
      </c>
      <c r="D66" s="3" t="s">
        <v>787</v>
      </c>
      <c r="E66" s="3">
        <v>6086</v>
      </c>
      <c r="F66" s="3" t="b">
        <v>1</v>
      </c>
      <c r="G66" s="16">
        <v>45985.765277777777</v>
      </c>
      <c r="H66" s="3" t="s">
        <v>788</v>
      </c>
      <c r="I66" s="3">
        <v>-23.629300000000001</v>
      </c>
      <c r="J66" s="3">
        <v>-46.635100000000001</v>
      </c>
      <c r="K66" s="9" t="s">
        <v>98</v>
      </c>
      <c r="L66" s="3" t="s">
        <v>789</v>
      </c>
      <c r="M66" s="3" t="s">
        <v>107</v>
      </c>
      <c r="O66" s="3" t="s">
        <v>786</v>
      </c>
      <c r="Q66" s="3" t="s">
        <v>130</v>
      </c>
      <c r="AG66" s="3" t="s">
        <v>94</v>
      </c>
      <c r="AH66" s="3" t="s">
        <v>94</v>
      </c>
      <c r="AJ66" s="3" t="s">
        <v>93</v>
      </c>
      <c r="AK66" s="3" t="s">
        <v>94</v>
      </c>
      <c r="AL66" s="3" t="s">
        <v>93</v>
      </c>
      <c r="AM66" s="3" t="s">
        <v>94</v>
      </c>
      <c r="AN66" s="3" t="s">
        <v>94</v>
      </c>
      <c r="AO66" s="3" t="s">
        <v>94</v>
      </c>
      <c r="AP66" s="3" t="s">
        <v>94</v>
      </c>
      <c r="AQ66" s="3" t="s">
        <v>94</v>
      </c>
      <c r="AR66" s="3" t="s">
        <v>93</v>
      </c>
      <c r="AS66" s="3" t="s">
        <v>93</v>
      </c>
      <c r="AT66" s="3" t="s">
        <v>94</v>
      </c>
      <c r="AU66" s="3" t="s">
        <v>94</v>
      </c>
      <c r="AV66" s="3" t="s">
        <v>94</v>
      </c>
      <c r="AW66" s="3" t="s">
        <v>94</v>
      </c>
      <c r="AX66" s="3" t="s">
        <v>94</v>
      </c>
      <c r="AY66" s="3" t="s">
        <v>94</v>
      </c>
      <c r="AZ66" s="3" t="s">
        <v>94</v>
      </c>
      <c r="BA66" s="3" t="s">
        <v>94</v>
      </c>
      <c r="BB66" s="3" t="s">
        <v>93</v>
      </c>
      <c r="BC66" s="3">
        <v>3</v>
      </c>
      <c r="BD66" s="3">
        <v>3</v>
      </c>
      <c r="BE66" s="3">
        <v>2</v>
      </c>
      <c r="BF66" s="3">
        <v>2</v>
      </c>
      <c r="BG66" s="3">
        <v>2</v>
      </c>
      <c r="BH66" s="3">
        <v>4</v>
      </c>
      <c r="BI66" s="3">
        <v>2</v>
      </c>
      <c r="BJ66" s="3">
        <v>2</v>
      </c>
      <c r="BK66" s="3">
        <v>2</v>
      </c>
      <c r="BL66" s="3">
        <v>2</v>
      </c>
      <c r="BM66" s="3">
        <v>4</v>
      </c>
      <c r="BN66" s="3">
        <v>3</v>
      </c>
      <c r="BO66" s="3">
        <v>2</v>
      </c>
      <c r="BP66" s="3">
        <v>2</v>
      </c>
      <c r="BQ66" s="3">
        <v>2</v>
      </c>
      <c r="BR66" s="3">
        <v>2</v>
      </c>
      <c r="BS66" s="3">
        <v>2</v>
      </c>
      <c r="BT66" s="3">
        <v>2</v>
      </c>
      <c r="BU66" s="3">
        <v>2</v>
      </c>
      <c r="BV66" s="3">
        <v>4</v>
      </c>
      <c r="BW66" s="3">
        <v>2</v>
      </c>
      <c r="BX66" s="3">
        <v>4</v>
      </c>
      <c r="BY66" s="3">
        <v>4</v>
      </c>
      <c r="BZ66" s="3">
        <v>4</v>
      </c>
      <c r="CA66" s="3">
        <v>2</v>
      </c>
      <c r="CB66" s="3">
        <v>4</v>
      </c>
      <c r="CC66" s="3">
        <v>2</v>
      </c>
      <c r="CD66" s="3">
        <v>4</v>
      </c>
      <c r="CF66" s="3">
        <f>COUNTIF(AG66:BB66, "Dispone")</f>
        <v>5</v>
      </c>
      <c r="CG66" s="3">
        <v>24</v>
      </c>
      <c r="CH66" s="3">
        <f>SUM(BM66:CD66)</f>
        <v>51</v>
      </c>
      <c r="CI66" s="6">
        <f>COUNTIF(AG66:BB66, "Dispone")/22</f>
        <v>0.22727272727272727</v>
      </c>
      <c r="CJ66" s="7">
        <f>AVERAGE(BC66:BL66)</f>
        <v>2.4</v>
      </c>
      <c r="CK66" s="8">
        <f>AVERAGE(BM66:CD66)</f>
        <v>2.8333333333333335</v>
      </c>
      <c r="CL66" s="9" t="str">
        <f>IF(AND(CI66&gt;50%, CJ66&gt;2.5, CK66&gt;2.5), "Compromiso", "")</f>
        <v/>
      </c>
      <c r="CM66" s="9" t="str">
        <f>IF(AND(CI66&gt;75%, CJ66&gt;4, CK66&gt;4), "Liderazgo", "")</f>
        <v/>
      </c>
      <c r="CN66" s="9" t="str">
        <f>IF(AND(CI66&gt;90%, CJ66&gt;4.5, CK66&gt;4.5), "Transformación", "")</f>
        <v/>
      </c>
      <c r="CO66" s="9" t="s">
        <v>581</v>
      </c>
      <c r="CP66" s="9" t="s">
        <v>103</v>
      </c>
    </row>
    <row r="67" spans="1:94" ht="17.25" customHeight="1" x14ac:dyDescent="0.25">
      <c r="A67" s="12">
        <v>45868.424004629633</v>
      </c>
      <c r="B67" s="12">
        <v>45868.488240740742</v>
      </c>
      <c r="C67" s="9" t="s">
        <v>96</v>
      </c>
      <c r="D67" s="9" t="s">
        <v>423</v>
      </c>
      <c r="E67" s="13">
        <v>5549</v>
      </c>
      <c r="F67" s="9" t="s">
        <v>105</v>
      </c>
      <c r="G67" s="12">
        <v>45868.488250127317</v>
      </c>
      <c r="H67" s="9" t="s">
        <v>424</v>
      </c>
      <c r="I67" s="13">
        <v>40.415300000000002</v>
      </c>
      <c r="J67" s="13">
        <v>-3.694</v>
      </c>
      <c r="K67" s="9" t="s">
        <v>98</v>
      </c>
      <c r="L67" s="9" t="s">
        <v>425</v>
      </c>
      <c r="M67" s="3" t="s">
        <v>107</v>
      </c>
      <c r="N67" s="9"/>
      <c r="O67" s="3" t="s">
        <v>907</v>
      </c>
      <c r="P67" s="9"/>
      <c r="Q67" s="9" t="s">
        <v>130</v>
      </c>
      <c r="W67" s="9"/>
      <c r="Y67" s="9"/>
      <c r="AG67" s="9" t="s">
        <v>94</v>
      </c>
      <c r="AH67" s="3" t="s">
        <v>93</v>
      </c>
      <c r="AJ67" s="9" t="s">
        <v>93</v>
      </c>
      <c r="AK67" s="9" t="s">
        <v>93</v>
      </c>
      <c r="AL67" s="9" t="s">
        <v>93</v>
      </c>
      <c r="AM67" s="9" t="s">
        <v>93</v>
      </c>
      <c r="AN67" s="9" t="s">
        <v>94</v>
      </c>
      <c r="AO67" s="9" t="s">
        <v>93</v>
      </c>
      <c r="AP67" s="9" t="s">
        <v>94</v>
      </c>
      <c r="AQ67" s="9" t="s">
        <v>93</v>
      </c>
      <c r="AR67" s="9" t="s">
        <v>93</v>
      </c>
      <c r="AS67" s="9" t="s">
        <v>93</v>
      </c>
      <c r="AT67" s="9" t="s">
        <v>93</v>
      </c>
      <c r="AU67" s="9" t="s">
        <v>94</v>
      </c>
      <c r="AV67" s="9" t="s">
        <v>94</v>
      </c>
      <c r="AW67" s="9" t="s">
        <v>93</v>
      </c>
      <c r="AX67" s="9" t="s">
        <v>94</v>
      </c>
      <c r="AY67" s="9" t="s">
        <v>94</v>
      </c>
      <c r="AZ67" s="9" t="s">
        <v>93</v>
      </c>
      <c r="BA67" s="9" t="s">
        <v>93</v>
      </c>
      <c r="BB67" s="9" t="s">
        <v>93</v>
      </c>
      <c r="BC67" s="11">
        <v>2</v>
      </c>
      <c r="BD67" s="11">
        <v>2</v>
      </c>
      <c r="BE67" s="11">
        <v>2</v>
      </c>
      <c r="BF67" s="11">
        <v>2</v>
      </c>
      <c r="BG67" s="11">
        <v>3</v>
      </c>
      <c r="BH67" s="11">
        <v>4</v>
      </c>
      <c r="BI67" s="11">
        <v>2</v>
      </c>
      <c r="BJ67" s="11">
        <v>3</v>
      </c>
      <c r="BK67" s="11">
        <v>4</v>
      </c>
      <c r="BL67" s="11">
        <v>2</v>
      </c>
      <c r="BM67" s="11">
        <v>4</v>
      </c>
      <c r="BN67" s="11">
        <v>5</v>
      </c>
      <c r="BO67" s="11">
        <v>5</v>
      </c>
      <c r="BP67" s="11">
        <v>5</v>
      </c>
      <c r="BQ67" s="11">
        <v>5</v>
      </c>
      <c r="BR67" s="11">
        <v>5</v>
      </c>
      <c r="BS67" s="11">
        <v>2</v>
      </c>
      <c r="BT67" s="11">
        <v>4</v>
      </c>
      <c r="BU67" s="11">
        <v>4</v>
      </c>
      <c r="BV67" s="11">
        <v>2</v>
      </c>
      <c r="BW67" s="11">
        <v>5</v>
      </c>
      <c r="BX67" s="11">
        <v>2</v>
      </c>
      <c r="BY67" s="11">
        <v>4</v>
      </c>
      <c r="BZ67" s="11">
        <v>5</v>
      </c>
      <c r="CA67" s="11">
        <v>5</v>
      </c>
      <c r="CB67" s="11">
        <v>4</v>
      </c>
      <c r="CC67" s="11">
        <v>5</v>
      </c>
      <c r="CD67" s="11">
        <v>5</v>
      </c>
      <c r="CE67" s="9"/>
      <c r="CF67" s="3">
        <f>COUNTIF(AG67:BB67, "Dispone")</f>
        <v>14</v>
      </c>
      <c r="CG67" s="3">
        <v>26</v>
      </c>
      <c r="CH67" s="11">
        <f>SUM(BM67:CD67)</f>
        <v>76</v>
      </c>
      <c r="CI67" s="6">
        <f>COUNTIF(AG67:BB67, "Dispone")/22</f>
        <v>0.63636363636363635</v>
      </c>
      <c r="CJ67" s="7">
        <f>AVERAGE(BC67:BL67)</f>
        <v>2.6</v>
      </c>
      <c r="CK67" s="15">
        <f>AVERAGE(BM67:CD67)</f>
        <v>4.2222222222222223</v>
      </c>
      <c r="CL67" s="9" t="str">
        <f>IF(AND(CI67&gt;50%, CJ67&gt;2.5, CK67&gt;2.5), "Compromiso", "")</f>
        <v>Compromiso</v>
      </c>
      <c r="CM67" s="9" t="str">
        <f>IF(AND(CI67&gt;75%, CJ67&gt;4, CK67&gt;4), "Liderazgo", "")</f>
        <v/>
      </c>
      <c r="CN67" s="9" t="str">
        <f>IF(AND(CI67&gt;90%, CJ67&gt;4.5, CK67&gt;4.5), "Transformación", "")</f>
        <v/>
      </c>
      <c r="CO67" s="9" t="s">
        <v>95</v>
      </c>
      <c r="CP67" s="9" t="s">
        <v>95</v>
      </c>
    </row>
    <row r="68" spans="1:94" ht="17.25" customHeight="1" x14ac:dyDescent="0.25">
      <c r="A68" s="12">
        <v>45863.40415509259</v>
      </c>
      <c r="B68" s="12">
        <v>45863.46371527778</v>
      </c>
      <c r="C68" s="9" t="s">
        <v>96</v>
      </c>
      <c r="D68" s="9" t="s">
        <v>302</v>
      </c>
      <c r="E68" s="13">
        <v>5146</v>
      </c>
      <c r="F68" s="9" t="s">
        <v>105</v>
      </c>
      <c r="G68" s="12">
        <v>45863.463738645834</v>
      </c>
      <c r="H68" s="9" t="s">
        <v>303</v>
      </c>
      <c r="I68" s="13">
        <v>37.191800000000001</v>
      </c>
      <c r="J68" s="13">
        <v>-3.6095000000000002</v>
      </c>
      <c r="K68" s="9" t="s">
        <v>98</v>
      </c>
      <c r="L68" s="9" t="s">
        <v>304</v>
      </c>
      <c r="M68" s="3" t="s">
        <v>305</v>
      </c>
      <c r="N68" s="9" t="s">
        <v>306</v>
      </c>
      <c r="O68" s="3" t="s">
        <v>941</v>
      </c>
      <c r="P68" s="9" t="s">
        <v>307</v>
      </c>
      <c r="Q68" s="9" t="s">
        <v>130</v>
      </c>
      <c r="R68" s="3">
        <v>1979</v>
      </c>
      <c r="S68" s="3">
        <v>2676</v>
      </c>
      <c r="T68" s="3">
        <v>20166</v>
      </c>
      <c r="U68" s="3">
        <v>0</v>
      </c>
      <c r="V68" s="3">
        <v>0</v>
      </c>
      <c r="W68" s="9" t="s">
        <v>118</v>
      </c>
      <c r="X68" s="3">
        <v>7</v>
      </c>
      <c r="Y68" s="9" t="s">
        <v>92</v>
      </c>
      <c r="Z68" s="3">
        <v>115</v>
      </c>
      <c r="AA68" s="3">
        <v>15000</v>
      </c>
      <c r="AB68" s="3">
        <v>2800</v>
      </c>
      <c r="AC68" s="3">
        <v>0</v>
      </c>
      <c r="AD68" s="3">
        <v>50742</v>
      </c>
      <c r="AE68" s="3">
        <v>10</v>
      </c>
      <c r="AF68" s="3">
        <v>2321100</v>
      </c>
      <c r="AG68" s="9" t="s">
        <v>93</v>
      </c>
      <c r="AH68" s="9" t="s">
        <v>93</v>
      </c>
      <c r="AI68" s="9" t="s">
        <v>93</v>
      </c>
      <c r="AJ68" s="9" t="s">
        <v>93</v>
      </c>
      <c r="AK68" s="9" t="s">
        <v>93</v>
      </c>
      <c r="AL68" s="9" t="s">
        <v>93</v>
      </c>
      <c r="AM68" s="9" t="s">
        <v>93</v>
      </c>
      <c r="AN68" s="9" t="s">
        <v>93</v>
      </c>
      <c r="AO68" s="9" t="s">
        <v>93</v>
      </c>
      <c r="AP68" s="9" t="s">
        <v>93</v>
      </c>
      <c r="AQ68" s="9" t="s">
        <v>93</v>
      </c>
      <c r="AR68" s="9" t="s">
        <v>93</v>
      </c>
      <c r="AS68" s="9" t="s">
        <v>93</v>
      </c>
      <c r="AT68" s="9" t="s">
        <v>93</v>
      </c>
      <c r="AU68" s="9" t="s">
        <v>93</v>
      </c>
      <c r="AV68" s="9" t="s">
        <v>93</v>
      </c>
      <c r="AW68" s="9" t="s">
        <v>94</v>
      </c>
      <c r="AX68" s="9" t="s">
        <v>93</v>
      </c>
      <c r="AY68" s="9" t="s">
        <v>93</v>
      </c>
      <c r="AZ68" s="9" t="s">
        <v>94</v>
      </c>
      <c r="BA68" s="9" t="s">
        <v>93</v>
      </c>
      <c r="BB68" s="9" t="s">
        <v>93</v>
      </c>
      <c r="BC68" s="11">
        <v>4</v>
      </c>
      <c r="BD68" s="11">
        <v>4</v>
      </c>
      <c r="BE68" s="11">
        <v>4</v>
      </c>
      <c r="BF68" s="11">
        <v>3</v>
      </c>
      <c r="BG68" s="11">
        <v>4</v>
      </c>
      <c r="BH68" s="11">
        <v>3</v>
      </c>
      <c r="BI68" s="11">
        <v>4</v>
      </c>
      <c r="BJ68" s="11">
        <v>4</v>
      </c>
      <c r="BK68" s="11">
        <v>4</v>
      </c>
      <c r="BL68" s="11">
        <v>5</v>
      </c>
      <c r="BM68" s="11">
        <v>4</v>
      </c>
      <c r="BN68" s="11">
        <v>4</v>
      </c>
      <c r="BO68" s="11">
        <v>4</v>
      </c>
      <c r="BP68" s="11">
        <v>4</v>
      </c>
      <c r="BQ68" s="11">
        <v>3</v>
      </c>
      <c r="BR68" s="11">
        <v>4</v>
      </c>
      <c r="BS68" s="11">
        <v>3</v>
      </c>
      <c r="BT68" s="11">
        <v>5</v>
      </c>
      <c r="BU68" s="11">
        <v>4</v>
      </c>
      <c r="BV68" s="11">
        <v>5</v>
      </c>
      <c r="BW68" s="11">
        <v>4</v>
      </c>
      <c r="BX68" s="11">
        <v>5</v>
      </c>
      <c r="BY68" s="11">
        <v>4</v>
      </c>
      <c r="BZ68" s="11">
        <v>5</v>
      </c>
      <c r="CA68" s="11">
        <v>5</v>
      </c>
      <c r="CB68" s="11">
        <v>5</v>
      </c>
      <c r="CC68" s="11">
        <v>5</v>
      </c>
      <c r="CD68" s="11">
        <v>5</v>
      </c>
      <c r="CE68" s="9"/>
      <c r="CF68" s="3">
        <v>20</v>
      </c>
      <c r="CG68" s="3">
        <v>39</v>
      </c>
      <c r="CH68" s="3">
        <v>78</v>
      </c>
      <c r="CI68" s="6">
        <f>COUNTIF(AG68:BB68, "Dispone")/22</f>
        <v>0.90909090909090906</v>
      </c>
      <c r="CJ68" s="7">
        <f>AVERAGE(BC68:BL68)</f>
        <v>3.9</v>
      </c>
      <c r="CK68" s="15">
        <f>AVERAGE(BM68:CD68)</f>
        <v>4.333333333333333</v>
      </c>
      <c r="CL68" s="9" t="str">
        <f>IF(AND(CI68&gt;50%, CJ68&gt;2.5, CK68&gt;2.5), "Compromiso", "")</f>
        <v>Compromiso</v>
      </c>
      <c r="CM68" s="9" t="str">
        <f>IF(AND(CI68&gt;75%, CJ68&gt;4, CK68&gt;4), "Liderazgo", "")</f>
        <v/>
      </c>
      <c r="CN68" s="9" t="str">
        <f>IF(AND(CI68&gt;90%, CJ68&gt;4.5, CK68&gt;4.5), "Transformación", "")</f>
        <v/>
      </c>
      <c r="CO68" s="9" t="s">
        <v>95</v>
      </c>
      <c r="CP68" s="9" t="s">
        <v>103</v>
      </c>
    </row>
    <row r="69" spans="1:94" ht="17.25" customHeight="1" x14ac:dyDescent="0.25">
      <c r="A69" s="10">
        <v>45965.836805555555</v>
      </c>
      <c r="B69" s="10">
        <v>45965.890277777777</v>
      </c>
      <c r="C69" s="3" t="s">
        <v>96</v>
      </c>
      <c r="D69" s="3" t="s">
        <v>628</v>
      </c>
      <c r="E69" s="3">
        <v>4654</v>
      </c>
      <c r="F69" s="3" t="b">
        <v>1</v>
      </c>
      <c r="G69" s="10">
        <v>45965.890277777777</v>
      </c>
      <c r="H69" s="3" t="s">
        <v>629</v>
      </c>
      <c r="I69" s="3">
        <v>6.1523000000000003</v>
      </c>
      <c r="J69" s="3">
        <v>-75.370699999999999</v>
      </c>
      <c r="K69" s="3" t="s">
        <v>98</v>
      </c>
      <c r="L69" s="3" t="s">
        <v>630</v>
      </c>
      <c r="M69" s="3" t="s">
        <v>631</v>
      </c>
      <c r="N69" s="3" t="s">
        <v>632</v>
      </c>
      <c r="O69" s="3" t="s">
        <v>942</v>
      </c>
      <c r="P69" s="3">
        <v>7711278753</v>
      </c>
      <c r="Q69" s="3" t="s">
        <v>144</v>
      </c>
      <c r="R69" s="3">
        <v>1961</v>
      </c>
      <c r="S69" s="3">
        <v>5827</v>
      </c>
      <c r="T69" s="3">
        <v>46026</v>
      </c>
      <c r="U69" s="3">
        <v>186</v>
      </c>
      <c r="V69" s="3">
        <v>0</v>
      </c>
      <c r="W69" s="3" t="s">
        <v>118</v>
      </c>
      <c r="X69" s="3">
        <v>0.2</v>
      </c>
      <c r="Y69" s="3" t="s">
        <v>92</v>
      </c>
      <c r="Z69" s="3">
        <v>46</v>
      </c>
      <c r="AA69" s="3">
        <v>7292523</v>
      </c>
      <c r="AB69" s="3">
        <v>7251</v>
      </c>
      <c r="AC69" s="3">
        <v>0</v>
      </c>
      <c r="AD69" s="3">
        <v>69258</v>
      </c>
      <c r="AE69" s="3">
        <v>38</v>
      </c>
      <c r="AF69" s="3">
        <v>231369</v>
      </c>
      <c r="AG69" s="3" t="s">
        <v>93</v>
      </c>
      <c r="AH69" s="3" t="s">
        <v>93</v>
      </c>
      <c r="AI69" s="3" t="s">
        <v>94</v>
      </c>
      <c r="AJ69" s="3" t="s">
        <v>93</v>
      </c>
      <c r="AK69" s="3" t="s">
        <v>93</v>
      </c>
      <c r="AL69" s="3" t="s">
        <v>93</v>
      </c>
      <c r="AM69" s="3" t="s">
        <v>93</v>
      </c>
      <c r="AN69" s="3" t="s">
        <v>94</v>
      </c>
      <c r="AO69" s="3" t="s">
        <v>93</v>
      </c>
      <c r="AP69" s="3" t="s">
        <v>93</v>
      </c>
      <c r="AQ69" s="3" t="s">
        <v>93</v>
      </c>
      <c r="AR69" s="3" t="s">
        <v>93</v>
      </c>
      <c r="AS69" s="3" t="s">
        <v>93</v>
      </c>
      <c r="AT69" s="3" t="s">
        <v>94</v>
      </c>
      <c r="AU69" s="3" t="s">
        <v>93</v>
      </c>
      <c r="AV69" s="3" t="s">
        <v>93</v>
      </c>
      <c r="AW69" s="3" t="s">
        <v>93</v>
      </c>
      <c r="AX69" s="3" t="s">
        <v>93</v>
      </c>
      <c r="AY69" s="3" t="s">
        <v>93</v>
      </c>
      <c r="AZ69" s="3" t="s">
        <v>94</v>
      </c>
      <c r="BA69" s="3" t="s">
        <v>93</v>
      </c>
      <c r="BB69" s="3" t="s">
        <v>93</v>
      </c>
      <c r="BC69" s="3">
        <v>3</v>
      </c>
      <c r="BD69" s="3">
        <v>4</v>
      </c>
      <c r="BE69" s="3">
        <v>3</v>
      </c>
      <c r="BF69" s="3">
        <v>2</v>
      </c>
      <c r="BG69" s="3">
        <v>2</v>
      </c>
      <c r="BH69" s="3">
        <v>2</v>
      </c>
      <c r="BI69" s="3">
        <v>1</v>
      </c>
      <c r="BJ69" s="3">
        <v>3</v>
      </c>
      <c r="BK69" s="3">
        <v>1</v>
      </c>
      <c r="BL69" s="3">
        <v>2</v>
      </c>
      <c r="BM69" s="3">
        <v>5</v>
      </c>
      <c r="BN69" s="3">
        <v>4</v>
      </c>
      <c r="BO69" s="3">
        <v>2</v>
      </c>
      <c r="BP69" s="3">
        <v>2</v>
      </c>
      <c r="BQ69" s="3">
        <v>2</v>
      </c>
      <c r="BR69" s="3">
        <v>3</v>
      </c>
      <c r="BS69" s="3">
        <v>3</v>
      </c>
      <c r="BT69" s="3">
        <v>1</v>
      </c>
      <c r="BU69" s="3">
        <v>3</v>
      </c>
      <c r="BV69" s="3">
        <v>4</v>
      </c>
      <c r="BW69" s="3">
        <v>3</v>
      </c>
      <c r="BX69" s="3">
        <v>2</v>
      </c>
      <c r="BY69" s="3">
        <v>4</v>
      </c>
      <c r="BZ69" s="3">
        <v>4</v>
      </c>
      <c r="CA69" s="3">
        <v>5</v>
      </c>
      <c r="CB69" s="3">
        <v>5</v>
      </c>
      <c r="CC69" s="3">
        <v>5</v>
      </c>
      <c r="CD69" s="3">
        <v>5</v>
      </c>
      <c r="CF69" s="3">
        <v>18</v>
      </c>
      <c r="CG69" s="3">
        <v>23</v>
      </c>
      <c r="CH69" s="3">
        <v>62</v>
      </c>
      <c r="CI69" s="6">
        <f>COUNTIF(AG69:BB69, "Dispone")/22</f>
        <v>0.81818181818181823</v>
      </c>
      <c r="CJ69" s="7">
        <f>AVERAGE(BC69:BL69)</f>
        <v>2.2999999999999998</v>
      </c>
      <c r="CK69" s="15">
        <f>AVERAGE(BM69:CD69)</f>
        <v>3.4444444444444446</v>
      </c>
      <c r="CL69" s="9" t="str">
        <f>IF(AND(CI69&gt;50%, CJ69&gt;2.5, CK69&gt;2.5), "Compromiso", "")</f>
        <v/>
      </c>
      <c r="CM69" s="9" t="str">
        <f>IF(AND(CI69&gt;75%, CJ69&gt;4, CK69&gt;4), "Liderazgo", "")</f>
        <v/>
      </c>
      <c r="CN69" s="9" t="str">
        <f>IF(AND(CI69&gt;90%, CJ69&gt;4.5, CK69&gt;4.5), "Transformación", "")</f>
        <v/>
      </c>
      <c r="CO69" s="9" t="s">
        <v>581</v>
      </c>
      <c r="CP69" s="9" t="s">
        <v>132</v>
      </c>
    </row>
    <row r="70" spans="1:94" ht="17.25" customHeight="1" x14ac:dyDescent="0.25">
      <c r="A70" s="16">
        <v>45959.844444444447</v>
      </c>
      <c r="B70" s="16">
        <v>45959.895138888889</v>
      </c>
      <c r="C70" s="3" t="s">
        <v>96</v>
      </c>
      <c r="D70" s="3" t="s">
        <v>744</v>
      </c>
      <c r="E70" s="3">
        <v>4389</v>
      </c>
      <c r="F70" s="3" t="b">
        <v>1</v>
      </c>
      <c r="G70" s="16">
        <v>45959.895138888889</v>
      </c>
      <c r="H70" s="3" t="s">
        <v>745</v>
      </c>
      <c r="I70" s="3">
        <v>4.6044</v>
      </c>
      <c r="J70" s="3">
        <v>-74.085800000000006</v>
      </c>
      <c r="K70" s="3" t="s">
        <v>98</v>
      </c>
      <c r="L70" s="3" t="s">
        <v>746</v>
      </c>
      <c r="M70" s="3" t="s">
        <v>747</v>
      </c>
      <c r="N70" s="3" t="s">
        <v>748</v>
      </c>
      <c r="O70" s="3" t="s">
        <v>943</v>
      </c>
      <c r="P70" s="3">
        <v>1140419526</v>
      </c>
      <c r="Q70" s="3" t="s">
        <v>206</v>
      </c>
      <c r="R70" s="3">
        <v>1994</v>
      </c>
      <c r="S70" s="3">
        <v>1200</v>
      </c>
      <c r="T70" s="3">
        <v>5706</v>
      </c>
      <c r="U70" s="3">
        <v>935</v>
      </c>
      <c r="V70" s="3">
        <v>408</v>
      </c>
      <c r="W70" s="3" t="s">
        <v>91</v>
      </c>
      <c r="X70" s="3">
        <v>3.94</v>
      </c>
      <c r="Y70" s="3" t="s">
        <v>92</v>
      </c>
      <c r="Z70" s="3">
        <v>5</v>
      </c>
      <c r="AA70" s="3">
        <v>58345</v>
      </c>
      <c r="AB70" s="3">
        <v>0</v>
      </c>
      <c r="AC70" s="3">
        <v>0</v>
      </c>
      <c r="AD70" s="3">
        <v>1201</v>
      </c>
      <c r="AE70" s="3">
        <v>0</v>
      </c>
      <c r="AF70" s="3">
        <v>38000000</v>
      </c>
      <c r="AG70" s="3" t="s">
        <v>94</v>
      </c>
      <c r="AH70" s="3" t="s">
        <v>93</v>
      </c>
      <c r="AI70" s="3" t="s">
        <v>94</v>
      </c>
      <c r="AJ70" s="3" t="s">
        <v>93</v>
      </c>
      <c r="AK70" s="3" t="s">
        <v>93</v>
      </c>
      <c r="AL70" s="3" t="s">
        <v>93</v>
      </c>
      <c r="AM70" s="3" t="s">
        <v>93</v>
      </c>
      <c r="AN70" s="3" t="s">
        <v>94</v>
      </c>
      <c r="AO70" s="3" t="s">
        <v>93</v>
      </c>
      <c r="AP70" s="3" t="s">
        <v>93</v>
      </c>
      <c r="AQ70" s="3" t="s">
        <v>94</v>
      </c>
      <c r="AR70" s="3" t="s">
        <v>93</v>
      </c>
      <c r="AS70" s="3" t="s">
        <v>93</v>
      </c>
      <c r="AT70" s="3" t="s">
        <v>94</v>
      </c>
      <c r="AU70" s="3" t="s">
        <v>93</v>
      </c>
      <c r="AV70" s="3" t="s">
        <v>93</v>
      </c>
      <c r="AW70" s="3" t="s">
        <v>93</v>
      </c>
      <c r="AX70" s="3" t="s">
        <v>93</v>
      </c>
      <c r="AY70" s="3" t="s">
        <v>93</v>
      </c>
      <c r="AZ70" s="3" t="s">
        <v>94</v>
      </c>
      <c r="BA70" s="3" t="s">
        <v>94</v>
      </c>
      <c r="BB70" s="3" t="s">
        <v>94</v>
      </c>
      <c r="BC70" s="3">
        <v>2</v>
      </c>
      <c r="BD70" s="3">
        <v>2</v>
      </c>
      <c r="BE70" s="3">
        <v>2</v>
      </c>
      <c r="BF70" s="3">
        <v>2</v>
      </c>
      <c r="BG70" s="3">
        <v>2</v>
      </c>
      <c r="BH70" s="3">
        <v>3</v>
      </c>
      <c r="BI70" s="3">
        <v>3</v>
      </c>
      <c r="BJ70" s="3">
        <v>3</v>
      </c>
      <c r="BK70" s="3">
        <v>2</v>
      </c>
      <c r="BL70" s="3">
        <v>3</v>
      </c>
      <c r="BM70" s="3">
        <v>4</v>
      </c>
      <c r="BN70" s="3">
        <v>4</v>
      </c>
      <c r="BO70" s="3">
        <v>5</v>
      </c>
      <c r="BP70" s="3">
        <v>4</v>
      </c>
      <c r="BQ70" s="3">
        <v>3</v>
      </c>
      <c r="BR70" s="3">
        <v>3</v>
      </c>
      <c r="BS70" s="3">
        <v>4</v>
      </c>
      <c r="BT70" s="3">
        <v>4</v>
      </c>
      <c r="BU70" s="3">
        <v>4</v>
      </c>
      <c r="BV70" s="3">
        <v>2</v>
      </c>
      <c r="BW70" s="3">
        <v>3</v>
      </c>
      <c r="BX70" s="3">
        <v>2</v>
      </c>
      <c r="BY70" s="3">
        <v>3</v>
      </c>
      <c r="BZ70" s="3">
        <v>4</v>
      </c>
      <c r="CA70" s="3">
        <v>4</v>
      </c>
      <c r="CB70" s="3">
        <v>4</v>
      </c>
      <c r="CC70" s="3">
        <v>4</v>
      </c>
      <c r="CD70" s="3">
        <v>5</v>
      </c>
      <c r="CF70" s="3">
        <v>14</v>
      </c>
      <c r="CG70" s="3">
        <v>24</v>
      </c>
      <c r="CH70" s="3">
        <v>66</v>
      </c>
      <c r="CI70" s="6">
        <f>COUNTIF(AG70:BB70, "Dispone")/22</f>
        <v>0.63636363636363635</v>
      </c>
      <c r="CJ70" s="7">
        <f>AVERAGE(BC70:BL70)</f>
        <v>2.4</v>
      </c>
      <c r="CK70" s="15">
        <f>AVERAGE(BM70:CD70)</f>
        <v>3.6666666666666665</v>
      </c>
      <c r="CL70" s="9" t="str">
        <f>IF(AND(CI70&gt;50%, CJ70&gt;2.5, CK70&gt;2.5), "Compromiso", "")</f>
        <v/>
      </c>
      <c r="CM70" s="9" t="str">
        <f>IF(AND(CI70&gt;75%, CJ70&gt;4, CK70&gt;4), "Liderazgo", "")</f>
        <v/>
      </c>
      <c r="CN70" s="9" t="str">
        <f>IF(AND(CI70&gt;90%, CJ70&gt;4.5, CK70&gt;4.5), "Transformación", "")</f>
        <v/>
      </c>
      <c r="CO70" s="9" t="s">
        <v>581</v>
      </c>
      <c r="CP70" s="9" t="s">
        <v>146</v>
      </c>
    </row>
    <row r="71" spans="1:94" ht="17.25" customHeight="1" x14ac:dyDescent="0.25">
      <c r="A71" s="16">
        <v>45986.981944444444</v>
      </c>
      <c r="B71" s="16">
        <v>45987.030555555553</v>
      </c>
      <c r="C71" s="3" t="s">
        <v>96</v>
      </c>
      <c r="D71" s="3" t="s">
        <v>527</v>
      </c>
      <c r="E71" s="3">
        <v>4183</v>
      </c>
      <c r="F71" s="3" t="b">
        <v>1</v>
      </c>
      <c r="G71" s="16">
        <v>45987.030555555553</v>
      </c>
      <c r="H71" s="3" t="s">
        <v>528</v>
      </c>
      <c r="I71" s="3">
        <v>-2.4573999999999998</v>
      </c>
      <c r="J71" s="3">
        <v>-78.171000000000006</v>
      </c>
      <c r="K71" s="3" t="s">
        <v>98</v>
      </c>
      <c r="L71" s="3" t="s">
        <v>529</v>
      </c>
      <c r="M71" s="3" t="s">
        <v>530</v>
      </c>
      <c r="N71" s="3" t="s">
        <v>531</v>
      </c>
      <c r="O71" s="3" t="s">
        <v>944</v>
      </c>
      <c r="P71" s="3">
        <v>3216178487</v>
      </c>
      <c r="Q71" s="3" t="s">
        <v>102</v>
      </c>
      <c r="R71" s="3">
        <v>1978</v>
      </c>
      <c r="S71" s="3">
        <v>478</v>
      </c>
      <c r="T71" s="3">
        <v>2516</v>
      </c>
      <c r="U71" s="3">
        <v>0</v>
      </c>
      <c r="V71" s="3">
        <v>0</v>
      </c>
      <c r="W71" s="3" t="s">
        <v>91</v>
      </c>
      <c r="X71" s="3">
        <v>2</v>
      </c>
      <c r="Y71" s="3" t="s">
        <v>153</v>
      </c>
      <c r="Z71" s="3">
        <v>3</v>
      </c>
      <c r="AA71" s="3">
        <v>605511</v>
      </c>
      <c r="AB71" s="3">
        <v>245</v>
      </c>
      <c r="AC71" s="3">
        <v>24</v>
      </c>
      <c r="AD71" s="3">
        <v>9318</v>
      </c>
      <c r="AE71" s="3">
        <v>11927</v>
      </c>
      <c r="AF71" s="3">
        <v>2186566</v>
      </c>
      <c r="AG71" s="3" t="s">
        <v>93</v>
      </c>
      <c r="AH71" s="3" t="s">
        <v>93</v>
      </c>
      <c r="AI71" s="3" t="s">
        <v>93</v>
      </c>
      <c r="AJ71" s="3" t="s">
        <v>93</v>
      </c>
      <c r="AK71" s="3" t="s">
        <v>93</v>
      </c>
      <c r="AL71" s="3" t="s">
        <v>93</v>
      </c>
      <c r="AM71" s="3" t="s">
        <v>93</v>
      </c>
      <c r="AN71" s="3" t="s">
        <v>93</v>
      </c>
      <c r="AO71" s="3" t="s">
        <v>93</v>
      </c>
      <c r="AP71" s="3" t="s">
        <v>94</v>
      </c>
      <c r="AQ71" s="3" t="s">
        <v>93</v>
      </c>
      <c r="AR71" s="3" t="s">
        <v>93</v>
      </c>
      <c r="AS71" s="3" t="s">
        <v>93</v>
      </c>
      <c r="AT71" s="3" t="s">
        <v>94</v>
      </c>
      <c r="AU71" s="3" t="s">
        <v>93</v>
      </c>
      <c r="AV71" s="3" t="s">
        <v>93</v>
      </c>
      <c r="AW71" s="3" t="s">
        <v>93</v>
      </c>
      <c r="AX71" s="3" t="s">
        <v>94</v>
      </c>
      <c r="AY71" s="3" t="s">
        <v>93</v>
      </c>
      <c r="AZ71" s="3" t="s">
        <v>93</v>
      </c>
      <c r="BA71" s="3" t="s">
        <v>93</v>
      </c>
      <c r="BB71" s="3" t="s">
        <v>93</v>
      </c>
      <c r="BC71" s="3">
        <v>5</v>
      </c>
      <c r="BD71" s="3">
        <v>4</v>
      </c>
      <c r="BE71" s="3">
        <v>5</v>
      </c>
      <c r="BF71" s="3">
        <v>4</v>
      </c>
      <c r="BG71" s="3">
        <v>4</v>
      </c>
      <c r="BH71" s="3">
        <v>5</v>
      </c>
      <c r="BI71" s="3">
        <v>5</v>
      </c>
      <c r="BJ71" s="3">
        <v>5</v>
      </c>
      <c r="BK71" s="3">
        <v>4</v>
      </c>
      <c r="BL71" s="3">
        <v>5</v>
      </c>
      <c r="BM71" s="3">
        <v>5</v>
      </c>
      <c r="BN71" s="3">
        <v>5</v>
      </c>
      <c r="BO71" s="3">
        <v>5</v>
      </c>
      <c r="BP71" s="3">
        <v>5</v>
      </c>
      <c r="BQ71" s="3">
        <v>5</v>
      </c>
      <c r="BR71" s="3">
        <v>5</v>
      </c>
      <c r="BS71" s="3">
        <v>5</v>
      </c>
      <c r="BT71" s="3">
        <v>5</v>
      </c>
      <c r="BU71" s="3">
        <v>4</v>
      </c>
      <c r="BV71" s="3">
        <v>5</v>
      </c>
      <c r="BW71" s="3">
        <v>5</v>
      </c>
      <c r="BX71" s="3">
        <v>5</v>
      </c>
      <c r="BY71" s="3">
        <v>5</v>
      </c>
      <c r="BZ71" s="3">
        <v>5</v>
      </c>
      <c r="CA71" s="3">
        <v>5</v>
      </c>
      <c r="CB71" s="3">
        <v>5</v>
      </c>
      <c r="CC71" s="3">
        <v>4</v>
      </c>
      <c r="CD71" s="3">
        <v>5</v>
      </c>
      <c r="CF71" s="3">
        <v>19</v>
      </c>
      <c r="CG71" s="3">
        <v>46</v>
      </c>
      <c r="CH71" s="3">
        <v>88</v>
      </c>
      <c r="CI71" s="6">
        <f>COUNTIF(AG71:BB71, "Dispone")/22</f>
        <v>0.86363636363636365</v>
      </c>
      <c r="CJ71" s="7">
        <f>AVERAGE(BC71:BL71)</f>
        <v>4.5999999999999996</v>
      </c>
      <c r="CK71" s="15">
        <f>AVERAGE(BM71:CD71)</f>
        <v>4.8888888888888893</v>
      </c>
      <c r="CL71" s="9" t="str">
        <f>IF(AND(CI71&gt;50%, CJ71&gt;2.5, CK71&gt;2.5), "Compromiso", "")</f>
        <v>Compromiso</v>
      </c>
      <c r="CM71" s="9" t="str">
        <f>IF(AND(CI71&gt;75%, CJ71&gt;4, CK71&gt;4), "Liderazgo", "")</f>
        <v>Liderazgo</v>
      </c>
      <c r="CN71" s="9" t="str">
        <f>IF(AND(CI71&gt;90%, CJ71&gt;4.5, CK71&gt;4.5), "Transformación", "")</f>
        <v/>
      </c>
      <c r="CO71" s="9" t="s">
        <v>103</v>
      </c>
      <c r="CP71" s="9" t="s">
        <v>146</v>
      </c>
    </row>
    <row r="72" spans="1:94" ht="17.25" customHeight="1" x14ac:dyDescent="0.25">
      <c r="A72" s="12">
        <v>45909.508831018517</v>
      </c>
      <c r="B72" s="12">
        <v>45909.554918981485</v>
      </c>
      <c r="C72" s="9" t="s">
        <v>96</v>
      </c>
      <c r="D72" s="9" t="s">
        <v>813</v>
      </c>
      <c r="E72" s="13">
        <v>3981</v>
      </c>
      <c r="F72" s="9" t="s">
        <v>105</v>
      </c>
      <c r="G72" s="12">
        <v>45909.554931203704</v>
      </c>
      <c r="H72" s="9" t="s">
        <v>814</v>
      </c>
      <c r="I72" s="13">
        <v>40.415300000000002</v>
      </c>
      <c r="J72" s="13">
        <v>-3.694</v>
      </c>
      <c r="K72" s="9" t="s">
        <v>98</v>
      </c>
      <c r="L72" s="9" t="s">
        <v>815</v>
      </c>
      <c r="M72" s="3" t="s">
        <v>816</v>
      </c>
      <c r="N72" s="9" t="s">
        <v>817</v>
      </c>
      <c r="O72" s="3" t="s">
        <v>945</v>
      </c>
      <c r="P72" s="9" t="s">
        <v>818</v>
      </c>
      <c r="Q72" s="9" t="s">
        <v>102</v>
      </c>
      <c r="R72" s="3">
        <v>1970</v>
      </c>
      <c r="S72" s="3">
        <v>14097</v>
      </c>
      <c r="T72" s="3">
        <v>10594</v>
      </c>
      <c r="U72" s="3">
        <v>2480</v>
      </c>
      <c r="V72" s="3">
        <v>309</v>
      </c>
      <c r="W72" s="9" t="s">
        <v>91</v>
      </c>
      <c r="X72" s="3">
        <v>103</v>
      </c>
      <c r="Y72" s="9" t="s">
        <v>92</v>
      </c>
      <c r="Z72" s="3">
        <v>6</v>
      </c>
      <c r="AA72" s="3">
        <v>3666765</v>
      </c>
      <c r="AB72" s="3">
        <v>214</v>
      </c>
      <c r="AC72" s="3">
        <v>14</v>
      </c>
      <c r="AD72" s="3">
        <v>86096</v>
      </c>
      <c r="AE72" s="3">
        <v>23250</v>
      </c>
      <c r="AF72" s="3">
        <v>13434592</v>
      </c>
      <c r="AG72" s="9" t="s">
        <v>93</v>
      </c>
      <c r="AH72" s="9" t="s">
        <v>93</v>
      </c>
      <c r="AI72" s="9" t="s">
        <v>93</v>
      </c>
      <c r="AJ72" s="9" t="s">
        <v>93</v>
      </c>
      <c r="AK72" s="9" t="s">
        <v>93</v>
      </c>
      <c r="AL72" s="9" t="s">
        <v>93</v>
      </c>
      <c r="AM72" s="9" t="s">
        <v>93</v>
      </c>
      <c r="AN72" s="9" t="s">
        <v>93</v>
      </c>
      <c r="AO72" s="9" t="s">
        <v>93</v>
      </c>
      <c r="AP72" s="9" t="s">
        <v>93</v>
      </c>
      <c r="AQ72" s="9" t="s">
        <v>93</v>
      </c>
      <c r="AR72" s="9" t="s">
        <v>93</v>
      </c>
      <c r="AS72" s="9" t="s">
        <v>93</v>
      </c>
      <c r="AT72" s="9" t="s">
        <v>93</v>
      </c>
      <c r="AU72" s="9" t="s">
        <v>93</v>
      </c>
      <c r="AV72" s="9" t="s">
        <v>93</v>
      </c>
      <c r="AW72" s="9" t="s">
        <v>93</v>
      </c>
      <c r="AX72" s="9" t="s">
        <v>94</v>
      </c>
      <c r="AY72" s="9" t="s">
        <v>93</v>
      </c>
      <c r="AZ72" s="9" t="s">
        <v>94</v>
      </c>
      <c r="BA72" s="9" t="s">
        <v>93</v>
      </c>
      <c r="BB72" s="9" t="s">
        <v>93</v>
      </c>
      <c r="BC72" s="11">
        <v>5</v>
      </c>
      <c r="BD72" s="11">
        <v>5</v>
      </c>
      <c r="BE72" s="11">
        <v>5</v>
      </c>
      <c r="BF72" s="11">
        <v>5</v>
      </c>
      <c r="BG72" s="11">
        <v>5</v>
      </c>
      <c r="BH72" s="11">
        <v>5</v>
      </c>
      <c r="BI72" s="11">
        <v>5</v>
      </c>
      <c r="BJ72" s="11">
        <v>5</v>
      </c>
      <c r="BK72" s="11">
        <v>5</v>
      </c>
      <c r="BL72" s="11">
        <v>4</v>
      </c>
      <c r="BM72" s="11">
        <v>5</v>
      </c>
      <c r="BN72" s="11">
        <v>5</v>
      </c>
      <c r="BO72" s="11">
        <v>5</v>
      </c>
      <c r="BP72" s="11">
        <v>5</v>
      </c>
      <c r="BQ72" s="11">
        <v>5</v>
      </c>
      <c r="BR72" s="11">
        <v>5</v>
      </c>
      <c r="BS72" s="11">
        <v>5</v>
      </c>
      <c r="BT72" s="11">
        <v>5</v>
      </c>
      <c r="BU72" s="11">
        <v>4</v>
      </c>
      <c r="BV72" s="11">
        <v>4</v>
      </c>
      <c r="BW72" s="11">
        <v>4</v>
      </c>
      <c r="BX72" s="11">
        <v>4</v>
      </c>
      <c r="BY72" s="11">
        <v>5</v>
      </c>
      <c r="BZ72" s="11">
        <v>5</v>
      </c>
      <c r="CA72" s="11">
        <v>5</v>
      </c>
      <c r="CB72" s="11">
        <v>5</v>
      </c>
      <c r="CC72" s="11">
        <v>1</v>
      </c>
      <c r="CD72" s="11">
        <v>5</v>
      </c>
      <c r="CE72" s="9" t="s">
        <v>219</v>
      </c>
      <c r="CF72" s="3">
        <v>20</v>
      </c>
      <c r="CG72" s="3">
        <v>49</v>
      </c>
      <c r="CH72" s="3">
        <v>82</v>
      </c>
      <c r="CI72" s="6">
        <f>COUNTIF(AG72:BB72, "Dispone")/22</f>
        <v>0.90909090909090906</v>
      </c>
      <c r="CJ72" s="7">
        <f>AVERAGE(BC72:BL72)</f>
        <v>4.9000000000000004</v>
      </c>
      <c r="CK72" s="15">
        <f>AVERAGE(BM72:CD72)</f>
        <v>4.5555555555555554</v>
      </c>
      <c r="CL72" s="9" t="str">
        <f>IF(AND(CI72&gt;50%, CJ72&gt;2.5, CK72&gt;2.5), "Compromiso", "")</f>
        <v>Compromiso</v>
      </c>
      <c r="CM72" s="9" t="str">
        <f>IF(AND(CI72&gt;75%, CJ72&gt;4, CK72&gt;4), "Liderazgo", "")</f>
        <v>Liderazgo</v>
      </c>
      <c r="CN72" s="9" t="str">
        <f>IF(AND(CI72&gt;90%, CJ72&gt;4.5, CK72&gt;4.5), "Transformación", "")</f>
        <v>Transformación</v>
      </c>
      <c r="CO72" s="9" t="s">
        <v>132</v>
      </c>
      <c r="CP72" s="9" t="s">
        <v>103</v>
      </c>
    </row>
    <row r="73" spans="1:94" ht="17.25" customHeight="1" x14ac:dyDescent="0.25">
      <c r="A73" s="16">
        <v>45982.807638888888</v>
      </c>
      <c r="B73" s="16">
        <v>45982.851388888892</v>
      </c>
      <c r="C73" s="3" t="s">
        <v>96</v>
      </c>
      <c r="D73" s="3" t="s">
        <v>508</v>
      </c>
      <c r="E73" s="3">
        <v>3751</v>
      </c>
      <c r="F73" s="3" t="b">
        <v>1</v>
      </c>
      <c r="G73" s="16">
        <v>45982.851388888892</v>
      </c>
      <c r="H73" s="3" t="s">
        <v>509</v>
      </c>
      <c r="I73" s="3">
        <v>19.485399999999998</v>
      </c>
      <c r="J73" s="3">
        <v>-99.179500000000004</v>
      </c>
      <c r="K73" s="3" t="s">
        <v>98</v>
      </c>
      <c r="L73" s="3" t="s">
        <v>510</v>
      </c>
      <c r="M73" s="3" t="s">
        <v>511</v>
      </c>
      <c r="N73" s="3" t="s">
        <v>512</v>
      </c>
      <c r="O73" s="3" t="s">
        <v>946</v>
      </c>
      <c r="P73" s="3">
        <v>985224676</v>
      </c>
      <c r="Q73" s="3" t="s">
        <v>124</v>
      </c>
      <c r="R73" s="3">
        <v>1965</v>
      </c>
      <c r="S73" s="3">
        <v>7292</v>
      </c>
      <c r="T73" s="3">
        <v>61899</v>
      </c>
      <c r="U73" s="3">
        <v>19155</v>
      </c>
      <c r="V73" s="3">
        <v>601</v>
      </c>
      <c r="W73" s="3" t="s">
        <v>91</v>
      </c>
      <c r="X73" s="3">
        <v>4</v>
      </c>
      <c r="Y73" s="3" t="s">
        <v>153</v>
      </c>
      <c r="Z73" s="3">
        <v>36</v>
      </c>
      <c r="AA73" s="3">
        <v>6304131</v>
      </c>
      <c r="AB73" s="3">
        <v>1354</v>
      </c>
      <c r="AC73" s="3">
        <v>5</v>
      </c>
      <c r="AD73" s="3">
        <v>103392</v>
      </c>
      <c r="AE73" s="3">
        <v>0</v>
      </c>
      <c r="AF73" s="3">
        <v>161000</v>
      </c>
      <c r="AG73" s="3" t="s">
        <v>93</v>
      </c>
      <c r="AH73" s="3" t="s">
        <v>93</v>
      </c>
      <c r="AI73" s="3" t="s">
        <v>93</v>
      </c>
      <c r="AJ73" s="3" t="s">
        <v>93</v>
      </c>
      <c r="AK73" s="3" t="s">
        <v>93</v>
      </c>
      <c r="AL73" s="3" t="s">
        <v>93</v>
      </c>
      <c r="AM73" s="3" t="s">
        <v>93</v>
      </c>
      <c r="AN73" s="3" t="s">
        <v>93</v>
      </c>
      <c r="AO73" s="3" t="s">
        <v>93</v>
      </c>
      <c r="AP73" s="3" t="s">
        <v>93</v>
      </c>
      <c r="AQ73" s="3" t="s">
        <v>93</v>
      </c>
      <c r="AR73" s="3" t="s">
        <v>93</v>
      </c>
      <c r="AS73" s="3" t="s">
        <v>93</v>
      </c>
      <c r="AT73" s="3" t="s">
        <v>93</v>
      </c>
      <c r="AU73" s="3" t="s">
        <v>93</v>
      </c>
      <c r="AV73" s="3" t="s">
        <v>93</v>
      </c>
      <c r="AW73" s="3" t="s">
        <v>94</v>
      </c>
      <c r="AX73" s="3" t="s">
        <v>94</v>
      </c>
      <c r="AY73" s="3" t="s">
        <v>93</v>
      </c>
      <c r="AZ73" s="3" t="s">
        <v>93</v>
      </c>
      <c r="BA73" s="3" t="s">
        <v>93</v>
      </c>
      <c r="BB73" s="3" t="s">
        <v>93</v>
      </c>
      <c r="BC73" s="3">
        <v>3</v>
      </c>
      <c r="BD73" s="3">
        <v>4</v>
      </c>
      <c r="BE73" s="3">
        <v>4</v>
      </c>
      <c r="BF73" s="3">
        <v>5</v>
      </c>
      <c r="BG73" s="3">
        <v>3</v>
      </c>
      <c r="BH73" s="3">
        <v>5</v>
      </c>
      <c r="BI73" s="3">
        <v>4</v>
      </c>
      <c r="BJ73" s="3">
        <v>5</v>
      </c>
      <c r="BK73" s="3">
        <v>4</v>
      </c>
      <c r="BL73" s="3">
        <v>5</v>
      </c>
      <c r="BM73" s="3">
        <v>5</v>
      </c>
      <c r="BN73" s="3">
        <v>5</v>
      </c>
      <c r="BO73" s="3">
        <v>5</v>
      </c>
      <c r="BP73" s="3">
        <v>4</v>
      </c>
      <c r="BQ73" s="3">
        <v>4</v>
      </c>
      <c r="BR73" s="3">
        <v>4</v>
      </c>
      <c r="BS73" s="3">
        <v>5</v>
      </c>
      <c r="BT73" s="3">
        <v>5</v>
      </c>
      <c r="BU73" s="3">
        <v>4</v>
      </c>
      <c r="BV73" s="3">
        <v>3</v>
      </c>
      <c r="BW73" s="3">
        <v>5</v>
      </c>
      <c r="BX73" s="3">
        <v>5</v>
      </c>
      <c r="BY73" s="3">
        <v>5</v>
      </c>
      <c r="BZ73" s="3">
        <v>5</v>
      </c>
      <c r="CA73" s="3">
        <v>4</v>
      </c>
      <c r="CB73" s="3">
        <v>5</v>
      </c>
      <c r="CC73" s="3">
        <v>3</v>
      </c>
      <c r="CD73" s="3">
        <v>5</v>
      </c>
      <c r="CE73" s="3" t="s">
        <v>513</v>
      </c>
      <c r="CF73" s="3">
        <v>20</v>
      </c>
      <c r="CG73" s="3">
        <v>42</v>
      </c>
      <c r="CH73" s="3">
        <v>81</v>
      </c>
      <c r="CI73" s="6">
        <f>COUNTIF(AG73:BB73, "Dispone")/22</f>
        <v>0.90909090909090906</v>
      </c>
      <c r="CJ73" s="7">
        <f>AVERAGE(BC73:BL73)</f>
        <v>4.2</v>
      </c>
      <c r="CK73" s="15">
        <f>AVERAGE(BM73:CD73)</f>
        <v>4.5</v>
      </c>
      <c r="CL73" s="9" t="str">
        <f>IF(AND(CI73&gt;50%, CJ73&gt;2.5, CK73&gt;2.5), "Compromiso", "")</f>
        <v>Compromiso</v>
      </c>
      <c r="CM73" s="9" t="str">
        <f>IF(AND(CI73&gt;75%, CJ73&gt;4, CK73&gt;4), "Liderazgo", "")</f>
        <v>Liderazgo</v>
      </c>
      <c r="CN73" s="9" t="str">
        <f>IF(AND(CI73&gt;90%, CJ73&gt;4.5, CK73&gt;4.5), "Transformación", "")</f>
        <v/>
      </c>
      <c r="CO73" s="9" t="s">
        <v>103</v>
      </c>
      <c r="CP73" s="9" t="s">
        <v>132</v>
      </c>
    </row>
    <row r="74" spans="1:94" ht="17.25" customHeight="1" x14ac:dyDescent="0.25">
      <c r="A74" s="12">
        <v>45952.945185185185</v>
      </c>
      <c r="B74" s="12">
        <v>45952.987037037034</v>
      </c>
      <c r="C74" s="9" t="s">
        <v>96</v>
      </c>
      <c r="D74" s="9" t="s">
        <v>119</v>
      </c>
      <c r="E74" s="13">
        <v>3616</v>
      </c>
      <c r="F74" s="9" t="s">
        <v>105</v>
      </c>
      <c r="G74" s="12">
        <v>45952.987052175929</v>
      </c>
      <c r="H74" s="9" t="s">
        <v>120</v>
      </c>
      <c r="I74" s="13">
        <v>4.6044</v>
      </c>
      <c r="J74" s="13">
        <v>-74.085800000000006</v>
      </c>
      <c r="K74" s="9" t="s">
        <v>98</v>
      </c>
      <c r="L74" s="9" t="s">
        <v>121</v>
      </c>
      <c r="M74" s="3" t="s">
        <v>122</v>
      </c>
      <c r="N74" s="9" t="s">
        <v>123</v>
      </c>
      <c r="O74" s="3" t="s">
        <v>946</v>
      </c>
      <c r="P74" s="9"/>
      <c r="Q74" s="9" t="s">
        <v>124</v>
      </c>
      <c r="R74" s="3">
        <v>1849</v>
      </c>
      <c r="S74" s="3">
        <v>5.9850000000000003</v>
      </c>
      <c r="T74" s="3">
        <v>23.684000000000001</v>
      </c>
      <c r="U74" s="3">
        <v>2495</v>
      </c>
      <c r="V74" s="3">
        <v>974</v>
      </c>
      <c r="W74" s="9" t="s">
        <v>118</v>
      </c>
      <c r="X74" s="3">
        <v>4.2</v>
      </c>
      <c r="Y74" s="9" t="s">
        <v>92</v>
      </c>
      <c r="Z74" s="3">
        <v>73</v>
      </c>
      <c r="AA74" s="3">
        <v>12518134</v>
      </c>
      <c r="AB74" s="3">
        <v>2615</v>
      </c>
      <c r="AC74" s="3">
        <v>3</v>
      </c>
      <c r="AD74" s="3">
        <v>535855</v>
      </c>
      <c r="AE74" s="3">
        <v>4</v>
      </c>
      <c r="AF74" s="3">
        <v>96000000</v>
      </c>
      <c r="AG74" s="9" t="s">
        <v>93</v>
      </c>
      <c r="AH74" s="9" t="s">
        <v>93</v>
      </c>
      <c r="AI74" s="9" t="s">
        <v>94</v>
      </c>
      <c r="AJ74" s="9" t="s">
        <v>93</v>
      </c>
      <c r="AK74" s="9" t="s">
        <v>93</v>
      </c>
      <c r="AL74" s="9" t="s">
        <v>93</v>
      </c>
      <c r="AM74" s="9" t="s">
        <v>93</v>
      </c>
      <c r="AN74" s="9" t="s">
        <v>93</v>
      </c>
      <c r="AO74" s="9" t="s">
        <v>93</v>
      </c>
      <c r="AP74" s="9" t="s">
        <v>93</v>
      </c>
      <c r="AQ74" s="9" t="s">
        <v>94</v>
      </c>
      <c r="AR74" s="9" t="s">
        <v>93</v>
      </c>
      <c r="AS74" s="9" t="s">
        <v>93</v>
      </c>
      <c r="AT74" s="9" t="s">
        <v>94</v>
      </c>
      <c r="AU74" s="9" t="s">
        <v>94</v>
      </c>
      <c r="AV74" s="9" t="s">
        <v>93</v>
      </c>
      <c r="AW74" s="9" t="s">
        <v>93</v>
      </c>
      <c r="AX74" s="9" t="s">
        <v>94</v>
      </c>
      <c r="AY74" s="9" t="s">
        <v>93</v>
      </c>
      <c r="AZ74" s="9" t="s">
        <v>94</v>
      </c>
      <c r="BA74" s="9" t="s">
        <v>93</v>
      </c>
      <c r="BB74" s="9" t="s">
        <v>93</v>
      </c>
      <c r="BC74" s="11">
        <v>1</v>
      </c>
      <c r="BD74" s="11">
        <v>3</v>
      </c>
      <c r="BE74" s="11">
        <v>2</v>
      </c>
      <c r="BF74" s="11">
        <v>3</v>
      </c>
      <c r="BG74" s="11">
        <v>3</v>
      </c>
      <c r="BH74" s="11">
        <v>3</v>
      </c>
      <c r="BI74" s="11">
        <v>3</v>
      </c>
      <c r="BJ74" s="11">
        <v>3</v>
      </c>
      <c r="BK74" s="11">
        <v>3</v>
      </c>
      <c r="BL74" s="11">
        <v>3</v>
      </c>
      <c r="BM74" s="11">
        <v>5</v>
      </c>
      <c r="BN74" s="11">
        <v>3</v>
      </c>
      <c r="BO74" s="11">
        <v>3</v>
      </c>
      <c r="BP74" s="11">
        <v>3</v>
      </c>
      <c r="BQ74" s="11">
        <v>3</v>
      </c>
      <c r="BR74" s="11">
        <v>3</v>
      </c>
      <c r="BS74" s="11">
        <v>3</v>
      </c>
      <c r="BT74" s="11">
        <v>5</v>
      </c>
      <c r="BU74" s="11">
        <v>5</v>
      </c>
      <c r="BV74" s="11">
        <v>2</v>
      </c>
      <c r="BW74" s="11">
        <v>3</v>
      </c>
      <c r="BX74" s="11">
        <v>3</v>
      </c>
      <c r="BY74" s="11">
        <v>3</v>
      </c>
      <c r="BZ74" s="11">
        <v>3</v>
      </c>
      <c r="CA74" s="11">
        <v>3</v>
      </c>
      <c r="CB74" s="11">
        <v>4</v>
      </c>
      <c r="CC74" s="11">
        <v>5</v>
      </c>
      <c r="CD74" s="11">
        <v>3</v>
      </c>
      <c r="CE74" s="9" t="s">
        <v>125</v>
      </c>
      <c r="CF74" s="3">
        <v>16</v>
      </c>
      <c r="CG74" s="3">
        <v>27</v>
      </c>
      <c r="CH74" s="3">
        <v>62</v>
      </c>
      <c r="CI74" s="6">
        <f>COUNTIF(AG74:BB74, "Dispone")/22</f>
        <v>0.72727272727272729</v>
      </c>
      <c r="CJ74" s="7">
        <f>AVERAGE(BC74:BL74)</f>
        <v>2.7</v>
      </c>
      <c r="CK74" s="15">
        <f>AVERAGE(BM74:CD74)</f>
        <v>3.4444444444444446</v>
      </c>
      <c r="CL74" s="9" t="str">
        <f>IF(AND(CI74&gt;50%, CJ74&gt;2.5, CK74&gt;2.5), "Compromiso", "")</f>
        <v>Compromiso</v>
      </c>
      <c r="CM74" s="9" t="str">
        <f>IF(AND(CI74&gt;75%, CJ74&gt;4, CK74&gt;4), "Liderazgo", "")</f>
        <v/>
      </c>
      <c r="CN74" s="9" t="str">
        <f>IF(AND(CI74&gt;90%, CJ74&gt;4.5, CK74&gt;4.5), "Transformación", "")</f>
        <v/>
      </c>
      <c r="CO74" s="9" t="s">
        <v>95</v>
      </c>
      <c r="CP74" s="9" t="s">
        <v>132</v>
      </c>
    </row>
    <row r="75" spans="1:94" ht="17.25" customHeight="1" x14ac:dyDescent="0.25">
      <c r="A75" s="16">
        <v>45957.674305555556</v>
      </c>
      <c r="B75" s="16">
        <v>45957.71597222222</v>
      </c>
      <c r="C75" s="3" t="s">
        <v>96</v>
      </c>
      <c r="D75" s="11">
        <v>186107209220</v>
      </c>
      <c r="E75" s="3">
        <v>3594</v>
      </c>
      <c r="F75" s="3" t="b">
        <v>1</v>
      </c>
      <c r="G75" s="16">
        <v>45957.71597222222</v>
      </c>
      <c r="H75" s="3" t="s">
        <v>715</v>
      </c>
      <c r="I75" s="3">
        <v>-33.452100000000002</v>
      </c>
      <c r="J75" s="3">
        <v>-70.653599999999997</v>
      </c>
      <c r="K75" s="3" t="s">
        <v>113</v>
      </c>
      <c r="L75" s="3" t="s">
        <v>716</v>
      </c>
      <c r="M75" s="3" t="s">
        <v>717</v>
      </c>
      <c r="N75" s="3" t="s">
        <v>718</v>
      </c>
      <c r="O75" s="3" t="s">
        <v>947</v>
      </c>
      <c r="Q75" s="3" t="s">
        <v>90</v>
      </c>
      <c r="R75" s="3">
        <v>2008</v>
      </c>
      <c r="S75" s="3">
        <v>1073</v>
      </c>
      <c r="T75" s="3">
        <v>4492</v>
      </c>
      <c r="U75" s="3">
        <v>0</v>
      </c>
      <c r="V75" s="3">
        <v>0</v>
      </c>
      <c r="W75" s="3" t="s">
        <v>118</v>
      </c>
      <c r="X75" s="3">
        <v>4.2000000000000003E-2</v>
      </c>
      <c r="Y75" s="3" t="s">
        <v>153</v>
      </c>
      <c r="Z75" s="3">
        <v>239</v>
      </c>
      <c r="AA75" s="3">
        <v>2365110</v>
      </c>
      <c r="AB75" s="3">
        <v>0</v>
      </c>
      <c r="AC75" s="3">
        <v>18</v>
      </c>
      <c r="AD75" s="3">
        <v>94679</v>
      </c>
      <c r="AE75" s="3">
        <v>0</v>
      </c>
      <c r="AF75" s="3">
        <v>0</v>
      </c>
      <c r="AG75" s="9" t="s">
        <v>94</v>
      </c>
      <c r="AH75" s="3" t="s">
        <v>93</v>
      </c>
      <c r="AI75" s="3" t="s">
        <v>94</v>
      </c>
      <c r="AJ75" s="3" t="s">
        <v>93</v>
      </c>
      <c r="AK75" s="3" t="s">
        <v>93</v>
      </c>
      <c r="AL75" s="3" t="s">
        <v>94</v>
      </c>
      <c r="AM75" s="3" t="s">
        <v>93</v>
      </c>
      <c r="AN75" s="3" t="s">
        <v>94</v>
      </c>
      <c r="AO75" s="3" t="s">
        <v>93</v>
      </c>
      <c r="AP75" s="3" t="s">
        <v>93</v>
      </c>
      <c r="AQ75" s="3" t="s">
        <v>94</v>
      </c>
      <c r="AR75" s="3" t="s">
        <v>93</v>
      </c>
      <c r="AS75" s="3" t="s">
        <v>93</v>
      </c>
      <c r="AT75" s="3" t="s">
        <v>93</v>
      </c>
      <c r="AU75" s="3" t="s">
        <v>94</v>
      </c>
      <c r="AV75" s="3" t="s">
        <v>93</v>
      </c>
      <c r="AW75" s="3" t="s">
        <v>94</v>
      </c>
      <c r="AX75" s="3" t="s">
        <v>94</v>
      </c>
      <c r="AY75" s="3" t="s">
        <v>94</v>
      </c>
      <c r="AZ75" s="3" t="s">
        <v>93</v>
      </c>
      <c r="BA75" s="3" t="s">
        <v>93</v>
      </c>
      <c r="BB75" s="3" t="s">
        <v>93</v>
      </c>
      <c r="BC75" s="11">
        <v>2</v>
      </c>
      <c r="BD75" s="11">
        <v>1</v>
      </c>
      <c r="BE75" s="11">
        <v>1</v>
      </c>
      <c r="BF75" s="11">
        <v>1</v>
      </c>
      <c r="BG75" s="11">
        <v>1</v>
      </c>
      <c r="BH75" s="11">
        <v>2</v>
      </c>
      <c r="BI75" s="11">
        <v>1</v>
      </c>
      <c r="BJ75" s="11">
        <v>3</v>
      </c>
      <c r="BK75" s="11">
        <v>1</v>
      </c>
      <c r="BL75" s="11">
        <v>1</v>
      </c>
      <c r="BM75" s="11">
        <v>5</v>
      </c>
      <c r="BN75" s="11">
        <v>3</v>
      </c>
      <c r="BO75" s="11">
        <v>3</v>
      </c>
      <c r="BP75" s="11">
        <v>3</v>
      </c>
      <c r="BQ75" s="11">
        <v>1</v>
      </c>
      <c r="BR75" s="11">
        <v>3</v>
      </c>
      <c r="BS75" s="11">
        <v>2</v>
      </c>
      <c r="BT75" s="11">
        <v>5</v>
      </c>
      <c r="BU75" s="11">
        <v>1</v>
      </c>
      <c r="BV75" s="11">
        <v>1</v>
      </c>
      <c r="BW75" s="11">
        <v>4</v>
      </c>
      <c r="BX75" s="11">
        <v>5</v>
      </c>
      <c r="BY75" s="11">
        <v>5</v>
      </c>
      <c r="BZ75" s="11">
        <v>5</v>
      </c>
      <c r="CA75" s="11">
        <v>5</v>
      </c>
      <c r="CB75" s="11">
        <v>5</v>
      </c>
      <c r="CC75" s="11">
        <v>5</v>
      </c>
      <c r="CD75" s="11">
        <v>5</v>
      </c>
      <c r="CF75" s="3">
        <v>13</v>
      </c>
      <c r="CG75" s="3">
        <v>14</v>
      </c>
      <c r="CH75" s="3">
        <v>66</v>
      </c>
      <c r="CI75" s="6">
        <f>COUNTIF(AG75:BB75, "Dispone")/22</f>
        <v>0.59090909090909094</v>
      </c>
      <c r="CJ75" s="7">
        <f>AVERAGE(BC75:BL75)</f>
        <v>1.4</v>
      </c>
      <c r="CK75" s="15">
        <f>AVERAGE(BM75:CD75)</f>
        <v>3.6666666666666665</v>
      </c>
      <c r="CL75" s="9" t="str">
        <f>IF(AND(CI75&gt;50%, CJ75&gt;2.5, CK75&gt;2.5), "Compromiso", "")</f>
        <v/>
      </c>
      <c r="CM75" s="9" t="str">
        <f>IF(AND(CI75&gt;75%, CJ75&gt;4, CK75&gt;4), "Liderazgo", "")</f>
        <v/>
      </c>
      <c r="CN75" s="9" t="str">
        <f>IF(AND(CI75&gt;90%, CJ75&gt;4.5, CK75&gt;4.5), "Transformación", "")</f>
        <v/>
      </c>
      <c r="CO75" s="9" t="s">
        <v>581</v>
      </c>
      <c r="CP75" s="9" t="s">
        <v>146</v>
      </c>
    </row>
    <row r="76" spans="1:94" ht="17.25" customHeight="1" x14ac:dyDescent="0.25">
      <c r="A76" s="16">
        <v>45971.865277777775</v>
      </c>
      <c r="B76" s="16">
        <v>45971.900694444441</v>
      </c>
      <c r="C76" s="3" t="s">
        <v>96</v>
      </c>
      <c r="D76" s="3" t="s">
        <v>291</v>
      </c>
      <c r="E76" s="3">
        <v>3073</v>
      </c>
      <c r="F76" s="3" t="b">
        <v>1</v>
      </c>
      <c r="G76" s="16">
        <v>45971.900694444441</v>
      </c>
      <c r="H76" s="3" t="s">
        <v>292</v>
      </c>
      <c r="I76" s="3">
        <v>10.9711</v>
      </c>
      <c r="J76" s="3">
        <v>-74.783699999999996</v>
      </c>
      <c r="K76" s="3" t="s">
        <v>98</v>
      </c>
      <c r="L76" s="3" t="s">
        <v>293</v>
      </c>
      <c r="M76" s="3" t="s">
        <v>294</v>
      </c>
      <c r="N76" s="3" t="s">
        <v>295</v>
      </c>
      <c r="O76" s="3" t="s">
        <v>948</v>
      </c>
      <c r="P76" s="3">
        <f>5493425324184</f>
        <v>5493425324184</v>
      </c>
      <c r="Q76" s="3" t="s">
        <v>206</v>
      </c>
      <c r="R76" s="3">
        <v>1919</v>
      </c>
      <c r="S76" s="3">
        <v>5801</v>
      </c>
      <c r="T76" s="3">
        <v>44927</v>
      </c>
      <c r="U76" s="3">
        <v>9153</v>
      </c>
      <c r="V76" s="3">
        <v>0</v>
      </c>
      <c r="W76" s="3" t="s">
        <v>118</v>
      </c>
      <c r="X76" s="3">
        <v>0.31</v>
      </c>
      <c r="Y76" s="3" t="s">
        <v>92</v>
      </c>
      <c r="Z76" s="3">
        <v>55</v>
      </c>
      <c r="AA76" s="3">
        <v>5330325</v>
      </c>
      <c r="AB76" s="3">
        <v>4288</v>
      </c>
      <c r="AC76" s="3">
        <v>3</v>
      </c>
      <c r="AD76" s="3">
        <v>180668</v>
      </c>
      <c r="AE76" s="3">
        <v>45</v>
      </c>
      <c r="AF76" s="3">
        <v>66386</v>
      </c>
      <c r="AG76" s="3" t="s">
        <v>93</v>
      </c>
      <c r="AH76" s="3" t="s">
        <v>93</v>
      </c>
      <c r="AI76" s="3" t="s">
        <v>94</v>
      </c>
      <c r="AJ76" s="3" t="s">
        <v>93</v>
      </c>
      <c r="AK76" s="3" t="s">
        <v>93</v>
      </c>
      <c r="AL76" s="3" t="s">
        <v>93</v>
      </c>
      <c r="AM76" s="3" t="s">
        <v>93</v>
      </c>
      <c r="AN76" s="3" t="s">
        <v>93</v>
      </c>
      <c r="AO76" s="3" t="s">
        <v>93</v>
      </c>
      <c r="AP76" s="3" t="s">
        <v>93</v>
      </c>
      <c r="AQ76" s="3" t="s">
        <v>94</v>
      </c>
      <c r="AR76" s="3" t="s">
        <v>93</v>
      </c>
      <c r="AS76" s="3" t="s">
        <v>93</v>
      </c>
      <c r="AT76" s="3" t="s">
        <v>94</v>
      </c>
      <c r="AU76" s="3" t="s">
        <v>93</v>
      </c>
      <c r="AV76" s="3" t="s">
        <v>93</v>
      </c>
      <c r="AW76" s="3" t="s">
        <v>93</v>
      </c>
      <c r="AX76" s="3" t="s">
        <v>93</v>
      </c>
      <c r="AY76" s="3" t="s">
        <v>93</v>
      </c>
      <c r="AZ76" s="3" t="s">
        <v>93</v>
      </c>
      <c r="BA76" s="3" t="s">
        <v>93</v>
      </c>
      <c r="BB76" s="3" t="s">
        <v>93</v>
      </c>
      <c r="BC76" s="3">
        <v>3</v>
      </c>
      <c r="BD76" s="3">
        <v>5</v>
      </c>
      <c r="BE76" s="3">
        <v>3</v>
      </c>
      <c r="BF76" s="3">
        <v>3</v>
      </c>
      <c r="BG76" s="3">
        <v>4</v>
      </c>
      <c r="BH76" s="3">
        <v>4</v>
      </c>
      <c r="BI76" s="3">
        <v>4</v>
      </c>
      <c r="BJ76" s="3">
        <v>4</v>
      </c>
      <c r="BK76" s="3">
        <v>3</v>
      </c>
      <c r="BL76" s="3">
        <v>4</v>
      </c>
      <c r="BM76" s="3">
        <v>5</v>
      </c>
      <c r="BN76" s="3">
        <v>5</v>
      </c>
      <c r="BO76" s="3">
        <v>5</v>
      </c>
      <c r="BP76" s="3">
        <v>4</v>
      </c>
      <c r="BQ76" s="3">
        <v>3</v>
      </c>
      <c r="BR76" s="3">
        <v>4</v>
      </c>
      <c r="BS76" s="3">
        <v>5</v>
      </c>
      <c r="BT76" s="3">
        <v>5</v>
      </c>
      <c r="BU76" s="3">
        <v>4</v>
      </c>
      <c r="BV76" s="3">
        <v>5</v>
      </c>
      <c r="BW76" s="3">
        <v>4</v>
      </c>
      <c r="BX76" s="3">
        <v>3</v>
      </c>
      <c r="BY76" s="3">
        <v>3</v>
      </c>
      <c r="BZ76" s="3">
        <v>4</v>
      </c>
      <c r="CA76" s="3">
        <v>5</v>
      </c>
      <c r="CB76" s="3">
        <v>2</v>
      </c>
      <c r="CC76" s="3">
        <v>5</v>
      </c>
      <c r="CD76" s="3">
        <v>5</v>
      </c>
      <c r="CE76" s="3" t="s">
        <v>296</v>
      </c>
      <c r="CF76" s="3">
        <v>19</v>
      </c>
      <c r="CG76" s="3">
        <v>37</v>
      </c>
      <c r="CH76" s="3">
        <v>76</v>
      </c>
      <c r="CI76" s="6">
        <f>COUNTIF(AG76:BB76, "Dispone")/22</f>
        <v>0.86363636363636365</v>
      </c>
      <c r="CJ76" s="7">
        <f>AVERAGE(BC76:BL76)</f>
        <v>3.7</v>
      </c>
      <c r="CK76" s="15">
        <f>AVERAGE(BM76:CD76)</f>
        <v>4.2222222222222223</v>
      </c>
      <c r="CL76" s="9" t="str">
        <f>IF(AND(CI76&gt;50%, CJ76&gt;2.5, CK76&gt;2.5), "Compromiso", "")</f>
        <v>Compromiso</v>
      </c>
      <c r="CM76" s="9" t="str">
        <f>IF(AND(CI76&gt;75%, CJ76&gt;4, CK76&gt;4), "Liderazgo", "")</f>
        <v/>
      </c>
      <c r="CN76" s="9" t="str">
        <f>IF(AND(CI76&gt;90%, CJ76&gt;4.5, CK76&gt;4.5), "Transformación", "")</f>
        <v/>
      </c>
      <c r="CO76" s="9" t="s">
        <v>95</v>
      </c>
      <c r="CP76" s="3" t="s">
        <v>95</v>
      </c>
    </row>
    <row r="77" spans="1:94" ht="17.25" customHeight="1" x14ac:dyDescent="0.25">
      <c r="A77" s="12">
        <v>45869.460821759261</v>
      </c>
      <c r="B77" s="12">
        <v>45869.496122685188</v>
      </c>
      <c r="C77" s="9" t="s">
        <v>96</v>
      </c>
      <c r="D77" s="9" t="s">
        <v>192</v>
      </c>
      <c r="E77" s="13">
        <v>3050</v>
      </c>
      <c r="F77" s="9" t="s">
        <v>105</v>
      </c>
      <c r="G77" s="12">
        <v>45869.496135775466</v>
      </c>
      <c r="H77" s="9" t="s">
        <v>193</v>
      </c>
      <c r="I77" s="13">
        <v>39.537999999999997</v>
      </c>
      <c r="J77" s="13">
        <v>-0.34150000000000003</v>
      </c>
      <c r="K77" s="9" t="s">
        <v>98</v>
      </c>
      <c r="L77" s="9" t="s">
        <v>194</v>
      </c>
      <c r="M77" s="3" t="s">
        <v>195</v>
      </c>
      <c r="N77" s="9" t="s">
        <v>196</v>
      </c>
      <c r="O77" s="3" t="s">
        <v>949</v>
      </c>
      <c r="P77" s="14" t="s">
        <v>1016</v>
      </c>
      <c r="Q77" s="9" t="s">
        <v>117</v>
      </c>
      <c r="R77" s="3">
        <v>2000</v>
      </c>
      <c r="S77" s="3">
        <v>678</v>
      </c>
      <c r="T77" s="3">
        <v>736</v>
      </c>
      <c r="U77" s="3">
        <v>7.7670000000000003</v>
      </c>
      <c r="V77" s="3">
        <v>1.4470000000000001</v>
      </c>
      <c r="W77" s="9" t="s">
        <v>91</v>
      </c>
      <c r="X77" s="3">
        <v>1</v>
      </c>
      <c r="Y77" s="9" t="s">
        <v>92</v>
      </c>
      <c r="Z77" s="3">
        <v>3</v>
      </c>
      <c r="AA77" s="3">
        <v>801793</v>
      </c>
      <c r="AB77" s="3">
        <v>682</v>
      </c>
      <c r="AC77" s="3">
        <v>22</v>
      </c>
      <c r="AD77" s="3">
        <v>21681</v>
      </c>
      <c r="AE77" s="3">
        <v>1</v>
      </c>
      <c r="AF77" s="3">
        <v>30000</v>
      </c>
      <c r="AG77" s="9" t="s">
        <v>93</v>
      </c>
      <c r="AH77" s="9" t="s">
        <v>93</v>
      </c>
      <c r="AI77" s="9" t="s">
        <v>94</v>
      </c>
      <c r="AJ77" s="9" t="s">
        <v>93</v>
      </c>
      <c r="AK77" s="9" t="s">
        <v>93</v>
      </c>
      <c r="AL77" s="9" t="s">
        <v>93</v>
      </c>
      <c r="AM77" s="9" t="s">
        <v>93</v>
      </c>
      <c r="AN77" s="9" t="s">
        <v>94</v>
      </c>
      <c r="AO77" s="9" t="s">
        <v>93</v>
      </c>
      <c r="AP77" s="9" t="s">
        <v>93</v>
      </c>
      <c r="AQ77" s="9" t="s">
        <v>94</v>
      </c>
      <c r="AR77" s="9" t="s">
        <v>93</v>
      </c>
      <c r="AS77" s="9" t="s">
        <v>93</v>
      </c>
      <c r="AT77" s="9" t="s">
        <v>94</v>
      </c>
      <c r="AU77" s="9" t="s">
        <v>93</v>
      </c>
      <c r="AV77" s="9" t="s">
        <v>93</v>
      </c>
      <c r="AW77" s="9" t="s">
        <v>93</v>
      </c>
      <c r="AX77" s="9" t="s">
        <v>93</v>
      </c>
      <c r="AY77" s="9" t="s">
        <v>93</v>
      </c>
      <c r="AZ77" s="9" t="s">
        <v>93</v>
      </c>
      <c r="BA77" s="9" t="s">
        <v>93</v>
      </c>
      <c r="BB77" s="9" t="s">
        <v>93</v>
      </c>
      <c r="BC77" s="11">
        <v>4</v>
      </c>
      <c r="BD77" s="11">
        <v>4</v>
      </c>
      <c r="BE77" s="11">
        <v>3</v>
      </c>
      <c r="BF77" s="11">
        <v>4</v>
      </c>
      <c r="BG77" s="11">
        <v>3</v>
      </c>
      <c r="BH77" s="11">
        <v>4</v>
      </c>
      <c r="BI77" s="11">
        <v>3</v>
      </c>
      <c r="BJ77" s="11">
        <v>4</v>
      </c>
      <c r="BK77" s="11">
        <v>4</v>
      </c>
      <c r="BL77" s="11">
        <v>4</v>
      </c>
      <c r="BM77" s="11">
        <v>3</v>
      </c>
      <c r="BN77" s="11">
        <v>4</v>
      </c>
      <c r="BO77" s="11">
        <v>3</v>
      </c>
      <c r="BP77" s="11">
        <v>3</v>
      </c>
      <c r="BQ77" s="11">
        <v>4</v>
      </c>
      <c r="BR77" s="11">
        <v>4</v>
      </c>
      <c r="BS77" s="11">
        <v>4</v>
      </c>
      <c r="BT77" s="11">
        <v>4</v>
      </c>
      <c r="BU77" s="11">
        <v>4</v>
      </c>
      <c r="BV77" s="11">
        <v>4</v>
      </c>
      <c r="BW77" s="11">
        <v>3</v>
      </c>
      <c r="BX77" s="11">
        <v>3</v>
      </c>
      <c r="BY77" s="11">
        <v>3</v>
      </c>
      <c r="BZ77" s="11">
        <v>2</v>
      </c>
      <c r="CA77" s="11">
        <v>4</v>
      </c>
      <c r="CB77" s="11">
        <v>4</v>
      </c>
      <c r="CC77" s="11">
        <v>4</v>
      </c>
      <c r="CD77" s="11">
        <v>4</v>
      </c>
      <c r="CE77" s="9" t="s">
        <v>197</v>
      </c>
      <c r="CF77" s="3">
        <v>18</v>
      </c>
      <c r="CG77" s="3">
        <v>37</v>
      </c>
      <c r="CH77" s="3">
        <v>64</v>
      </c>
      <c r="CI77" s="6">
        <f>COUNTIF(AG77:BB77, "Dispone")/22</f>
        <v>0.81818181818181823</v>
      </c>
      <c r="CJ77" s="7">
        <f>AVERAGE(BC77:BL77)</f>
        <v>3.7</v>
      </c>
      <c r="CK77" s="15">
        <f>AVERAGE(BM77:CD77)</f>
        <v>3.5555555555555554</v>
      </c>
      <c r="CL77" s="9" t="str">
        <f>IF(AND(CI77&gt;50%, CJ77&gt;2.5, CK77&gt;2.5), "Compromiso", "")</f>
        <v>Compromiso</v>
      </c>
      <c r="CM77" s="9" t="str">
        <f>IF(AND(CI77&gt;75%, CJ77&gt;4, CK77&gt;4), "Liderazgo", "")</f>
        <v/>
      </c>
      <c r="CN77" s="9" t="str">
        <f>IF(AND(CI77&gt;90%, CJ77&gt;4.5, CK77&gt;4.5), "Transformación", "")</f>
        <v/>
      </c>
      <c r="CO77" s="9" t="s">
        <v>95</v>
      </c>
      <c r="CP77" s="3" t="s">
        <v>146</v>
      </c>
    </row>
    <row r="78" spans="1:94" ht="17.25" customHeight="1" x14ac:dyDescent="0.25">
      <c r="A78" s="16">
        <v>45961.130555555559</v>
      </c>
      <c r="B78" s="16">
        <v>45961.163888888892</v>
      </c>
      <c r="C78" s="3" t="s">
        <v>96</v>
      </c>
      <c r="D78" s="3" t="s">
        <v>395</v>
      </c>
      <c r="E78" s="3">
        <v>2920</v>
      </c>
      <c r="F78" s="3" t="b">
        <v>1</v>
      </c>
      <c r="G78" s="16">
        <v>45961.163888888892</v>
      </c>
      <c r="H78" s="3" t="s">
        <v>396</v>
      </c>
      <c r="I78" s="3">
        <v>24.0199</v>
      </c>
      <c r="J78" s="3">
        <v>-104.657</v>
      </c>
      <c r="K78" s="3" t="s">
        <v>98</v>
      </c>
      <c r="L78" s="3" t="s">
        <v>397</v>
      </c>
      <c r="M78" s="3" t="s">
        <v>398</v>
      </c>
      <c r="N78" s="3" t="s">
        <v>399</v>
      </c>
      <c r="O78" s="3" t="s">
        <v>950</v>
      </c>
      <c r="P78" s="3">
        <v>999861395</v>
      </c>
      <c r="Q78" s="3" t="s">
        <v>231</v>
      </c>
      <c r="R78" s="3">
        <v>1962</v>
      </c>
      <c r="S78" s="3">
        <v>1600</v>
      </c>
      <c r="T78" s="3">
        <v>6000</v>
      </c>
      <c r="U78" s="3">
        <v>0</v>
      </c>
      <c r="V78" s="3">
        <v>0</v>
      </c>
      <c r="W78" s="3" t="s">
        <v>91</v>
      </c>
      <c r="X78" s="3">
        <v>0.15</v>
      </c>
      <c r="Y78" s="3" t="s">
        <v>153</v>
      </c>
      <c r="Z78" s="3">
        <v>7</v>
      </c>
      <c r="AA78" s="3">
        <v>4939296</v>
      </c>
      <c r="AB78" s="3">
        <v>3038</v>
      </c>
      <c r="AC78" s="3">
        <v>14.7</v>
      </c>
      <c r="AD78" s="3">
        <v>38488</v>
      </c>
      <c r="AE78" s="3">
        <v>36.78</v>
      </c>
      <c r="AF78" s="3">
        <v>200000</v>
      </c>
      <c r="AG78" s="3" t="s">
        <v>93</v>
      </c>
      <c r="AH78" s="3" t="s">
        <v>93</v>
      </c>
      <c r="AI78" s="3" t="s">
        <v>93</v>
      </c>
      <c r="AJ78" s="3" t="s">
        <v>93</v>
      </c>
      <c r="AK78" s="3" t="s">
        <v>94</v>
      </c>
      <c r="AL78" s="3" t="s">
        <v>93</v>
      </c>
      <c r="AM78" s="3" t="s">
        <v>93</v>
      </c>
      <c r="AN78" s="3" t="s">
        <v>94</v>
      </c>
      <c r="AO78" s="3" t="s">
        <v>93</v>
      </c>
      <c r="AP78" s="3" t="s">
        <v>94</v>
      </c>
      <c r="AQ78" s="3" t="s">
        <v>94</v>
      </c>
      <c r="AR78" s="3" t="s">
        <v>93</v>
      </c>
      <c r="AS78" s="3" t="s">
        <v>93</v>
      </c>
      <c r="AT78" s="3" t="s">
        <v>94</v>
      </c>
      <c r="AU78" s="3" t="s">
        <v>93</v>
      </c>
      <c r="AV78" s="3" t="s">
        <v>93</v>
      </c>
      <c r="AW78" s="3" t="s">
        <v>93</v>
      </c>
      <c r="AX78" s="3" t="s">
        <v>93</v>
      </c>
      <c r="AY78" s="3" t="s">
        <v>93</v>
      </c>
      <c r="AZ78" s="3" t="s">
        <v>94</v>
      </c>
      <c r="BA78" s="3" t="s">
        <v>93</v>
      </c>
      <c r="BB78" s="3" t="s">
        <v>93</v>
      </c>
      <c r="BC78" s="3">
        <v>2</v>
      </c>
      <c r="BD78" s="3">
        <v>3</v>
      </c>
      <c r="BE78" s="3">
        <v>4</v>
      </c>
      <c r="BF78" s="3">
        <v>4</v>
      </c>
      <c r="BG78" s="3">
        <v>4</v>
      </c>
      <c r="BH78" s="3">
        <v>4</v>
      </c>
      <c r="BI78" s="3">
        <v>5</v>
      </c>
      <c r="BJ78" s="3">
        <v>5</v>
      </c>
      <c r="BK78" s="3">
        <v>3</v>
      </c>
      <c r="BL78" s="3">
        <v>3</v>
      </c>
      <c r="BM78" s="3">
        <v>5</v>
      </c>
      <c r="BN78" s="3">
        <v>4</v>
      </c>
      <c r="BO78" s="3">
        <v>5</v>
      </c>
      <c r="BP78" s="3">
        <v>3</v>
      </c>
      <c r="BQ78" s="3">
        <v>4</v>
      </c>
      <c r="BR78" s="3">
        <v>4</v>
      </c>
      <c r="BS78" s="3">
        <v>5</v>
      </c>
      <c r="BT78" s="3">
        <v>5</v>
      </c>
      <c r="BU78" s="3">
        <v>3</v>
      </c>
      <c r="BV78" s="3">
        <v>4</v>
      </c>
      <c r="BW78" s="3">
        <v>4</v>
      </c>
      <c r="BX78" s="3">
        <v>4</v>
      </c>
      <c r="BY78" s="3">
        <v>3</v>
      </c>
      <c r="BZ78" s="3">
        <v>3</v>
      </c>
      <c r="CA78" s="3">
        <v>5</v>
      </c>
      <c r="CB78" s="3">
        <v>3</v>
      </c>
      <c r="CC78" s="3">
        <v>4</v>
      </c>
      <c r="CD78" s="3">
        <v>5</v>
      </c>
      <c r="CF78" s="3">
        <v>16</v>
      </c>
      <c r="CG78" s="3">
        <v>37</v>
      </c>
      <c r="CH78" s="3">
        <v>73</v>
      </c>
      <c r="CI78" s="6">
        <f>COUNTIF(AG78:BB78, "Dispone")/22</f>
        <v>0.72727272727272729</v>
      </c>
      <c r="CJ78" s="7">
        <f>AVERAGE(BC78:BL78)</f>
        <v>3.7</v>
      </c>
      <c r="CK78" s="15">
        <f>AVERAGE(BM78:CD78)</f>
        <v>4.0555555555555554</v>
      </c>
      <c r="CL78" s="9" t="str">
        <f>IF(AND(CI78&gt;50%, CJ78&gt;2.5, CK78&gt;2.5), "Compromiso", "")</f>
        <v>Compromiso</v>
      </c>
      <c r="CM78" s="9" t="str">
        <f>IF(AND(CI78&gt;75%, CJ78&gt;4, CK78&gt;4), "Liderazgo", "")</f>
        <v/>
      </c>
      <c r="CN78" s="9" t="str">
        <f>IF(AND(CI78&gt;90%, CJ78&gt;4.5, CK78&gt;4.5), "Transformación", "")</f>
        <v/>
      </c>
      <c r="CO78" s="9" t="s">
        <v>95</v>
      </c>
      <c r="CP78" s="3" t="s">
        <v>95</v>
      </c>
    </row>
    <row r="79" spans="1:94" ht="17.25" customHeight="1" x14ac:dyDescent="0.25">
      <c r="A79" s="16">
        <v>45958.525694444441</v>
      </c>
      <c r="B79" s="16">
        <v>45958.55972222222</v>
      </c>
      <c r="C79" s="3" t="s">
        <v>96</v>
      </c>
      <c r="D79" s="3" t="s">
        <v>420</v>
      </c>
      <c r="E79" s="3">
        <v>2891</v>
      </c>
      <c r="F79" s="3" t="b">
        <v>1</v>
      </c>
      <c r="G79" s="16">
        <v>45958.55972222222</v>
      </c>
      <c r="H79" s="3" t="s">
        <v>421</v>
      </c>
      <c r="I79" s="3">
        <v>4.8587999999999996</v>
      </c>
      <c r="J79" s="3">
        <v>-74.055300000000003</v>
      </c>
      <c r="K79" s="3" t="s">
        <v>98</v>
      </c>
      <c r="L79" s="3" t="s">
        <v>422</v>
      </c>
      <c r="M79" s="3" t="s">
        <v>107</v>
      </c>
      <c r="O79" s="3" t="s">
        <v>911</v>
      </c>
      <c r="Q79" s="3" t="s">
        <v>130</v>
      </c>
      <c r="AG79" s="3" t="s">
        <v>94</v>
      </c>
      <c r="AH79" s="3" t="s">
        <v>93</v>
      </c>
      <c r="AI79" s="5"/>
      <c r="AJ79" s="3" t="s">
        <v>93</v>
      </c>
      <c r="AK79" s="3" t="s">
        <v>94</v>
      </c>
      <c r="AL79" s="3" t="s">
        <v>93</v>
      </c>
      <c r="AM79" s="3" t="s">
        <v>93</v>
      </c>
      <c r="AN79" s="3" t="s">
        <v>94</v>
      </c>
      <c r="AO79" s="3" t="s">
        <v>93</v>
      </c>
      <c r="AP79" s="3" t="s">
        <v>94</v>
      </c>
      <c r="AQ79" s="3" t="s">
        <v>93</v>
      </c>
      <c r="AR79" s="3" t="s">
        <v>93</v>
      </c>
      <c r="AS79" s="3" t="s">
        <v>93</v>
      </c>
      <c r="AT79" s="3" t="s">
        <v>93</v>
      </c>
      <c r="AU79" s="3" t="s">
        <v>93</v>
      </c>
      <c r="AV79" s="3" t="s">
        <v>93</v>
      </c>
      <c r="AW79" s="3" t="s">
        <v>93</v>
      </c>
      <c r="AX79" s="3" t="s">
        <v>94</v>
      </c>
      <c r="AY79" s="3" t="s">
        <v>93</v>
      </c>
      <c r="AZ79" s="3" t="s">
        <v>93</v>
      </c>
      <c r="BA79" s="3" t="s">
        <v>93</v>
      </c>
      <c r="BB79" s="3" t="s">
        <v>93</v>
      </c>
      <c r="BC79" s="3">
        <v>3</v>
      </c>
      <c r="BD79" s="3">
        <v>4</v>
      </c>
      <c r="BE79" s="3">
        <v>4</v>
      </c>
      <c r="BF79" s="3">
        <v>4</v>
      </c>
      <c r="BG79" s="3">
        <v>2</v>
      </c>
      <c r="BH79" s="3">
        <v>5</v>
      </c>
      <c r="BI79" s="3">
        <v>3</v>
      </c>
      <c r="BJ79" s="3">
        <v>3</v>
      </c>
      <c r="BK79" s="3">
        <v>2</v>
      </c>
      <c r="BL79" s="3">
        <v>3</v>
      </c>
      <c r="BM79" s="3">
        <v>3</v>
      </c>
      <c r="BN79" s="3">
        <v>3</v>
      </c>
      <c r="BO79" s="3">
        <v>3</v>
      </c>
      <c r="BP79" s="3">
        <v>3</v>
      </c>
      <c r="BQ79" s="3">
        <v>4</v>
      </c>
      <c r="BR79" s="3">
        <v>4</v>
      </c>
      <c r="BS79" s="3">
        <v>3</v>
      </c>
      <c r="BT79" s="3">
        <v>3</v>
      </c>
      <c r="BU79" s="3">
        <v>3</v>
      </c>
      <c r="BV79" s="3">
        <v>4</v>
      </c>
      <c r="BW79" s="3">
        <v>3</v>
      </c>
      <c r="BX79" s="3">
        <v>5</v>
      </c>
      <c r="BY79" s="3">
        <v>4</v>
      </c>
      <c r="BZ79" s="3">
        <v>5</v>
      </c>
      <c r="CA79" s="3">
        <v>5</v>
      </c>
      <c r="CB79" s="3">
        <v>5</v>
      </c>
      <c r="CC79" s="3">
        <v>3</v>
      </c>
      <c r="CD79" s="3">
        <v>3</v>
      </c>
      <c r="CF79" s="3">
        <f>COUNTIF(AG79:BB79, "Dispone")</f>
        <v>16</v>
      </c>
      <c r="CG79" s="3">
        <v>33</v>
      </c>
      <c r="CH79" s="3">
        <f>SUM(BM79:CD79)</f>
        <v>66</v>
      </c>
      <c r="CI79" s="6">
        <f>COUNTIF(AG79:BB79, "Dispone")/22</f>
        <v>0.72727272727272729</v>
      </c>
      <c r="CJ79" s="7">
        <f>AVERAGE(BC79:BL79)</f>
        <v>3.3</v>
      </c>
      <c r="CK79" s="8">
        <f>AVERAGE(BM79:CD79)</f>
        <v>3.6666666666666665</v>
      </c>
      <c r="CL79" s="9" t="str">
        <f>IF(AND(CI79&gt;50%, CJ79&gt;2.5, CK79&gt;2.5), "Compromiso", "")</f>
        <v>Compromiso</v>
      </c>
      <c r="CM79" s="9" t="str">
        <f>IF(AND(CI79&gt;75%, CJ79&gt;4, CK79&gt;4), "Liderazgo", "")</f>
        <v/>
      </c>
      <c r="CN79" s="9" t="str">
        <f>IF(AND(CI79&gt;90%, CJ79&gt;4.5, CK79&gt;4.5), "Transformación", "")</f>
        <v/>
      </c>
      <c r="CO79" s="9" t="s">
        <v>95</v>
      </c>
      <c r="CP79" s="3" t="s">
        <v>103</v>
      </c>
    </row>
    <row r="80" spans="1:94" ht="17.25" customHeight="1" x14ac:dyDescent="0.25">
      <c r="A80" s="12">
        <v>45897.73883101852</v>
      </c>
      <c r="B80" s="12">
        <v>45897.77039351852</v>
      </c>
      <c r="C80" s="9" t="s">
        <v>96</v>
      </c>
      <c r="D80" s="9" t="s">
        <v>225</v>
      </c>
      <c r="E80" s="13">
        <v>2727</v>
      </c>
      <c r="F80" s="9" t="s">
        <v>105</v>
      </c>
      <c r="G80" s="12">
        <v>45897.770411516205</v>
      </c>
      <c r="H80" s="9" t="s">
        <v>226</v>
      </c>
      <c r="I80" s="13">
        <v>-25.502600000000001</v>
      </c>
      <c r="J80" s="13">
        <v>-49.290799999999997</v>
      </c>
      <c r="K80" s="9" t="s">
        <v>98</v>
      </c>
      <c r="L80" s="9" t="s">
        <v>227</v>
      </c>
      <c r="M80" s="3" t="s">
        <v>228</v>
      </c>
      <c r="N80" s="9" t="s">
        <v>229</v>
      </c>
      <c r="O80" s="3" t="s">
        <v>951</v>
      </c>
      <c r="P80" s="9" t="s">
        <v>230</v>
      </c>
      <c r="Q80" s="9" t="s">
        <v>231</v>
      </c>
      <c r="R80" s="3">
        <v>1917</v>
      </c>
      <c r="S80" s="3">
        <v>5914</v>
      </c>
      <c r="T80" s="3">
        <v>31514</v>
      </c>
      <c r="U80" s="3">
        <v>887</v>
      </c>
      <c r="V80" s="3">
        <v>6335</v>
      </c>
      <c r="W80" s="9" t="s">
        <v>91</v>
      </c>
      <c r="X80" s="3">
        <v>1.02</v>
      </c>
      <c r="Y80" s="9" t="s">
        <v>92</v>
      </c>
      <c r="Z80" s="3">
        <v>62</v>
      </c>
      <c r="AA80" s="3">
        <v>13101353</v>
      </c>
      <c r="AB80" s="3">
        <v>2857</v>
      </c>
      <c r="AC80" s="3">
        <v>67</v>
      </c>
      <c r="AD80" s="3">
        <v>302130</v>
      </c>
      <c r="AE80" s="3">
        <v>39</v>
      </c>
      <c r="AF80" s="3">
        <v>9681699</v>
      </c>
      <c r="AG80" s="9" t="s">
        <v>93</v>
      </c>
      <c r="AH80" s="9" t="s">
        <v>93</v>
      </c>
      <c r="AI80" s="9" t="s">
        <v>93</v>
      </c>
      <c r="AJ80" s="9" t="s">
        <v>93</v>
      </c>
      <c r="AK80" s="9" t="s">
        <v>93</v>
      </c>
      <c r="AL80" s="9" t="s">
        <v>93</v>
      </c>
      <c r="AM80" s="9" t="s">
        <v>93</v>
      </c>
      <c r="AN80" s="9" t="s">
        <v>93</v>
      </c>
      <c r="AO80" s="9" t="s">
        <v>93</v>
      </c>
      <c r="AP80" s="9" t="s">
        <v>94</v>
      </c>
      <c r="AQ80" s="9" t="s">
        <v>93</v>
      </c>
      <c r="AR80" s="9" t="s">
        <v>93</v>
      </c>
      <c r="AS80" s="9" t="s">
        <v>93</v>
      </c>
      <c r="AT80" s="9" t="s">
        <v>94</v>
      </c>
      <c r="AU80" s="9" t="s">
        <v>93</v>
      </c>
      <c r="AV80" s="9" t="s">
        <v>93</v>
      </c>
      <c r="AW80" s="9" t="s">
        <v>93</v>
      </c>
      <c r="AX80" s="9" t="s">
        <v>94</v>
      </c>
      <c r="AY80" s="9" t="s">
        <v>93</v>
      </c>
      <c r="AZ80" s="9" t="s">
        <v>93</v>
      </c>
      <c r="BA80" s="9" t="s">
        <v>93</v>
      </c>
      <c r="BB80" s="9" t="s">
        <v>93</v>
      </c>
      <c r="BC80" s="11">
        <v>3</v>
      </c>
      <c r="BD80" s="11">
        <v>3</v>
      </c>
      <c r="BE80" s="11">
        <v>2</v>
      </c>
      <c r="BF80" s="11">
        <v>4</v>
      </c>
      <c r="BG80" s="11">
        <v>4</v>
      </c>
      <c r="BH80" s="11">
        <v>5</v>
      </c>
      <c r="BI80" s="11">
        <v>4</v>
      </c>
      <c r="BJ80" s="11">
        <v>5</v>
      </c>
      <c r="BK80" s="11">
        <v>5</v>
      </c>
      <c r="BL80" s="11">
        <v>4</v>
      </c>
      <c r="BM80" s="11">
        <v>5</v>
      </c>
      <c r="BN80" s="11">
        <v>3</v>
      </c>
      <c r="BO80" s="11">
        <v>4</v>
      </c>
      <c r="BP80" s="11">
        <v>4</v>
      </c>
      <c r="BQ80" s="11">
        <v>4</v>
      </c>
      <c r="BR80" s="11">
        <v>5</v>
      </c>
      <c r="BS80" s="11">
        <v>5</v>
      </c>
      <c r="BT80" s="11">
        <v>5</v>
      </c>
      <c r="BU80" s="11">
        <v>2</v>
      </c>
      <c r="BV80" s="11">
        <v>4</v>
      </c>
      <c r="BW80" s="11">
        <v>4</v>
      </c>
      <c r="BX80" s="11">
        <v>2</v>
      </c>
      <c r="BY80" s="11">
        <v>4</v>
      </c>
      <c r="BZ80" s="11">
        <v>4</v>
      </c>
      <c r="CA80" s="11">
        <v>3</v>
      </c>
      <c r="CB80" s="11">
        <v>4</v>
      </c>
      <c r="CC80" s="11">
        <v>3</v>
      </c>
      <c r="CD80" s="11">
        <v>4</v>
      </c>
      <c r="CE80" s="9" t="s">
        <v>232</v>
      </c>
      <c r="CF80" s="3">
        <v>19</v>
      </c>
      <c r="CG80" s="3">
        <v>39</v>
      </c>
      <c r="CH80" s="3">
        <v>69</v>
      </c>
      <c r="CI80" s="6">
        <f>COUNTIF(AG80:BB80, "Dispone")/22</f>
        <v>0.86363636363636365</v>
      </c>
      <c r="CJ80" s="7">
        <f>AVERAGE(BC80:BL80)</f>
        <v>3.9</v>
      </c>
      <c r="CK80" s="15">
        <f>AVERAGE(BM80:CD80)</f>
        <v>3.8333333333333335</v>
      </c>
      <c r="CL80" s="9" t="str">
        <f>IF(AND(CI80&gt;50%, CJ80&gt;2.5, CK80&gt;2.5), "Compromiso", "")</f>
        <v>Compromiso</v>
      </c>
      <c r="CM80" s="9" t="str">
        <f>IF(AND(CI80&gt;75%, CJ80&gt;4, CK80&gt;4), "Liderazgo", "")</f>
        <v/>
      </c>
      <c r="CN80" s="9" t="str">
        <f>IF(AND(CI80&gt;90%, CJ80&gt;4.5, CK80&gt;4.5), "Transformación", "")</f>
        <v/>
      </c>
      <c r="CO80" s="9" t="s">
        <v>95</v>
      </c>
      <c r="CP80" s="3" t="s">
        <v>95</v>
      </c>
    </row>
    <row r="81" spans="1:94" ht="17.25" customHeight="1" x14ac:dyDescent="0.25">
      <c r="A81" s="12">
        <v>45870.442604166667</v>
      </c>
      <c r="B81" s="12">
        <v>45870.473692129628</v>
      </c>
      <c r="C81" s="9" t="s">
        <v>96</v>
      </c>
      <c r="D81" s="9" t="s">
        <v>678</v>
      </c>
      <c r="E81" s="13">
        <v>2685</v>
      </c>
      <c r="F81" s="9" t="s">
        <v>105</v>
      </c>
      <c r="G81" s="12">
        <v>45870.473705370372</v>
      </c>
      <c r="H81" s="9" t="s">
        <v>679</v>
      </c>
      <c r="I81" s="13">
        <v>42.877000000000002</v>
      </c>
      <c r="J81" s="13">
        <v>-8.5474999999999994</v>
      </c>
      <c r="K81" s="9" t="s">
        <v>98</v>
      </c>
      <c r="L81" s="9" t="s">
        <v>680</v>
      </c>
      <c r="M81" s="3" t="s">
        <v>681</v>
      </c>
      <c r="N81" s="9" t="s">
        <v>682</v>
      </c>
      <c r="O81" s="3" t="s">
        <v>952</v>
      </c>
      <c r="P81" s="9" t="s">
        <v>683</v>
      </c>
      <c r="Q81" s="9" t="s">
        <v>231</v>
      </c>
      <c r="R81" s="3">
        <v>2011</v>
      </c>
      <c r="S81" s="3">
        <v>1045</v>
      </c>
      <c r="T81" s="3">
        <v>4551</v>
      </c>
      <c r="U81" s="3">
        <v>0</v>
      </c>
      <c r="V81" s="3">
        <v>0</v>
      </c>
      <c r="W81" s="9" t="s">
        <v>91</v>
      </c>
      <c r="X81" s="3">
        <v>3</v>
      </c>
      <c r="Y81" s="9" t="s">
        <v>153</v>
      </c>
      <c r="Z81" s="3">
        <v>2</v>
      </c>
      <c r="AA81" s="3">
        <v>1588687</v>
      </c>
      <c r="AB81" s="3">
        <v>0</v>
      </c>
      <c r="AC81" s="3">
        <v>21</v>
      </c>
      <c r="AD81" s="3">
        <v>10191</v>
      </c>
      <c r="AE81" s="3">
        <v>1</v>
      </c>
      <c r="AF81" s="3">
        <v>0</v>
      </c>
      <c r="AG81" s="9" t="s">
        <v>93</v>
      </c>
      <c r="AH81" s="9" t="s">
        <v>93</v>
      </c>
      <c r="AI81" s="9" t="s">
        <v>93</v>
      </c>
      <c r="AJ81" s="9" t="s">
        <v>93</v>
      </c>
      <c r="AK81" s="9" t="s">
        <v>93</v>
      </c>
      <c r="AL81" s="9" t="s">
        <v>93</v>
      </c>
      <c r="AM81" s="9" t="s">
        <v>93</v>
      </c>
      <c r="AN81" s="9" t="s">
        <v>93</v>
      </c>
      <c r="AO81" s="9" t="s">
        <v>94</v>
      </c>
      <c r="AP81" s="9" t="s">
        <v>93</v>
      </c>
      <c r="AQ81" s="9" t="s">
        <v>93</v>
      </c>
      <c r="AR81" s="9" t="s">
        <v>93</v>
      </c>
      <c r="AS81" s="9" t="s">
        <v>93</v>
      </c>
      <c r="AT81" s="9" t="s">
        <v>94</v>
      </c>
      <c r="AU81" s="9" t="s">
        <v>93</v>
      </c>
      <c r="AV81" s="9" t="s">
        <v>93</v>
      </c>
      <c r="AW81" s="9" t="s">
        <v>94</v>
      </c>
      <c r="AX81" s="9" t="s">
        <v>94</v>
      </c>
      <c r="AY81" s="9" t="s">
        <v>94</v>
      </c>
      <c r="AZ81" s="9" t="s">
        <v>94</v>
      </c>
      <c r="BA81" s="9" t="s">
        <v>93</v>
      </c>
      <c r="BB81" s="9" t="s">
        <v>93</v>
      </c>
      <c r="BC81" s="11">
        <v>2</v>
      </c>
      <c r="BD81" s="11">
        <v>2</v>
      </c>
      <c r="BE81" s="11">
        <v>2</v>
      </c>
      <c r="BF81" s="11">
        <v>2</v>
      </c>
      <c r="BG81" s="11">
        <v>2</v>
      </c>
      <c r="BH81" s="11">
        <v>2</v>
      </c>
      <c r="BI81" s="11">
        <v>1</v>
      </c>
      <c r="BJ81" s="11">
        <v>2</v>
      </c>
      <c r="BK81" s="11">
        <v>1</v>
      </c>
      <c r="BL81" s="11">
        <v>2</v>
      </c>
      <c r="BM81" s="11">
        <v>4</v>
      </c>
      <c r="BN81" s="11">
        <v>2</v>
      </c>
      <c r="BO81" s="11">
        <v>2</v>
      </c>
      <c r="BP81" s="11">
        <v>2</v>
      </c>
      <c r="BQ81" s="11">
        <v>3</v>
      </c>
      <c r="BR81" s="11">
        <v>4</v>
      </c>
      <c r="BS81" s="11">
        <v>4</v>
      </c>
      <c r="BT81" s="11">
        <v>5</v>
      </c>
      <c r="BU81" s="11">
        <v>2</v>
      </c>
      <c r="BV81" s="11">
        <v>5</v>
      </c>
      <c r="BW81" s="11">
        <v>4</v>
      </c>
      <c r="BX81" s="11">
        <v>5</v>
      </c>
      <c r="BY81" s="11">
        <v>5</v>
      </c>
      <c r="BZ81" s="11">
        <v>4</v>
      </c>
      <c r="CA81" s="11">
        <v>5</v>
      </c>
      <c r="CB81" s="11">
        <v>5</v>
      </c>
      <c r="CC81" s="11">
        <v>5</v>
      </c>
      <c r="CD81" s="11">
        <v>5</v>
      </c>
      <c r="CE81" s="9"/>
      <c r="CF81" s="3">
        <v>16</v>
      </c>
      <c r="CG81" s="3">
        <v>18</v>
      </c>
      <c r="CH81" s="3">
        <v>71</v>
      </c>
      <c r="CI81" s="6">
        <f>COUNTIF(AG81:BB81, "Dispone")/22</f>
        <v>0.72727272727272729</v>
      </c>
      <c r="CJ81" s="7">
        <f>AVERAGE(BC81:BL81)</f>
        <v>1.8</v>
      </c>
      <c r="CK81" s="15">
        <f>AVERAGE(BM81:CD81)</f>
        <v>3.9444444444444446</v>
      </c>
      <c r="CL81" s="9" t="str">
        <f>IF(AND(CI81&gt;50%, CJ81&gt;2.5, CK81&gt;2.5), "Compromiso", "")</f>
        <v/>
      </c>
      <c r="CM81" s="9" t="str">
        <f>IF(AND(CI81&gt;75%, CJ81&gt;4, CK81&gt;4), "Liderazgo", "")</f>
        <v/>
      </c>
      <c r="CN81" s="9" t="str">
        <f>IF(AND(CI81&gt;90%, CJ81&gt;4.5, CK81&gt;4.5), "Transformación", "")</f>
        <v/>
      </c>
      <c r="CO81" s="9" t="s">
        <v>581</v>
      </c>
      <c r="CP81" s="3" t="s">
        <v>95</v>
      </c>
    </row>
    <row r="82" spans="1:94" ht="17.25" customHeight="1" x14ac:dyDescent="0.25">
      <c r="A82" s="16">
        <v>45959.834722222222</v>
      </c>
      <c r="B82" s="16">
        <v>45959.863194444442</v>
      </c>
      <c r="C82" s="3" t="s">
        <v>96</v>
      </c>
      <c r="D82" s="3" t="s">
        <v>633</v>
      </c>
      <c r="E82" s="3">
        <v>2462</v>
      </c>
      <c r="F82" s="3" t="b">
        <v>1</v>
      </c>
      <c r="G82" s="16">
        <v>45959.863194444442</v>
      </c>
      <c r="H82" s="3" t="s">
        <v>634</v>
      </c>
      <c r="I82" s="3">
        <v>-33.034799999999997</v>
      </c>
      <c r="J82" s="3">
        <v>-71.625600000000006</v>
      </c>
      <c r="K82" s="3" t="s">
        <v>98</v>
      </c>
      <c r="L82" s="3" t="s">
        <v>635</v>
      </c>
      <c r="M82" s="3" t="s">
        <v>885</v>
      </c>
      <c r="N82" s="3" t="s">
        <v>636</v>
      </c>
      <c r="O82" s="3" t="s">
        <v>953</v>
      </c>
      <c r="Q82" s="3" t="s">
        <v>206</v>
      </c>
      <c r="R82" s="3">
        <v>1956</v>
      </c>
      <c r="S82" s="3">
        <v>3947</v>
      </c>
      <c r="T82" s="3">
        <v>31435</v>
      </c>
      <c r="U82" s="3">
        <v>590</v>
      </c>
      <c r="V82" s="3">
        <v>3400</v>
      </c>
      <c r="W82" s="3" t="s">
        <v>118</v>
      </c>
      <c r="X82" s="3">
        <v>411</v>
      </c>
      <c r="Y82" s="3" t="s">
        <v>92</v>
      </c>
      <c r="Z82" s="3">
        <v>91</v>
      </c>
      <c r="AA82" s="3">
        <v>6629460</v>
      </c>
      <c r="AB82" s="3">
        <v>4800</v>
      </c>
      <c r="AC82" s="3">
        <v>100</v>
      </c>
      <c r="AD82" s="3">
        <v>267014</v>
      </c>
      <c r="AE82" s="3">
        <v>1</v>
      </c>
      <c r="AF82" s="3">
        <v>1</v>
      </c>
      <c r="AG82" s="3" t="s">
        <v>93</v>
      </c>
      <c r="AH82" s="3" t="s">
        <v>94</v>
      </c>
      <c r="AI82" s="3" t="s">
        <v>94</v>
      </c>
      <c r="AJ82" s="3" t="s">
        <v>93</v>
      </c>
      <c r="AK82" s="3" t="s">
        <v>93</v>
      </c>
      <c r="AL82" s="3" t="s">
        <v>93</v>
      </c>
      <c r="AM82" s="3" t="s">
        <v>93</v>
      </c>
      <c r="AN82" s="3" t="s">
        <v>93</v>
      </c>
      <c r="AO82" s="3" t="s">
        <v>93</v>
      </c>
      <c r="AP82" s="3" t="s">
        <v>93</v>
      </c>
      <c r="AQ82" s="3" t="s">
        <v>94</v>
      </c>
      <c r="AR82" s="3" t="s">
        <v>93</v>
      </c>
      <c r="AS82" s="3" t="s">
        <v>93</v>
      </c>
      <c r="AT82" s="3" t="s">
        <v>93</v>
      </c>
      <c r="AU82" s="3" t="s">
        <v>93</v>
      </c>
      <c r="AV82" s="3" t="s">
        <v>93</v>
      </c>
      <c r="AW82" s="3" t="s">
        <v>94</v>
      </c>
      <c r="AX82" s="3" t="s">
        <v>94</v>
      </c>
      <c r="AY82" s="3" t="s">
        <v>93</v>
      </c>
      <c r="AZ82" s="3" t="s">
        <v>94</v>
      </c>
      <c r="BA82" s="3" t="s">
        <v>93</v>
      </c>
      <c r="BB82" s="3" t="s">
        <v>93</v>
      </c>
      <c r="BC82" s="3">
        <v>1</v>
      </c>
      <c r="BD82" s="3">
        <v>3</v>
      </c>
      <c r="BE82" s="3">
        <v>2</v>
      </c>
      <c r="BF82" s="3">
        <v>1</v>
      </c>
      <c r="BG82" s="3">
        <v>3</v>
      </c>
      <c r="BH82" s="3">
        <v>5</v>
      </c>
      <c r="BI82" s="3">
        <v>3</v>
      </c>
      <c r="BJ82" s="3">
        <v>2</v>
      </c>
      <c r="BK82" s="3">
        <v>2</v>
      </c>
      <c r="BL82" s="3">
        <v>2</v>
      </c>
      <c r="BM82" s="3">
        <v>5</v>
      </c>
      <c r="BN82" s="3">
        <v>2</v>
      </c>
      <c r="BO82" s="3">
        <v>5</v>
      </c>
      <c r="BP82" s="3">
        <v>2</v>
      </c>
      <c r="BQ82" s="3">
        <v>2</v>
      </c>
      <c r="BR82" s="3">
        <v>4</v>
      </c>
      <c r="BS82" s="3">
        <v>2</v>
      </c>
      <c r="BT82" s="3">
        <v>3</v>
      </c>
      <c r="BU82" s="3">
        <v>3</v>
      </c>
      <c r="BV82" s="3">
        <v>5</v>
      </c>
      <c r="BW82" s="3">
        <v>4</v>
      </c>
      <c r="BX82" s="3">
        <v>5</v>
      </c>
      <c r="BY82" s="3">
        <v>5</v>
      </c>
      <c r="BZ82" s="3">
        <v>5</v>
      </c>
      <c r="CA82" s="3">
        <v>5</v>
      </c>
      <c r="CB82" s="3">
        <v>5</v>
      </c>
      <c r="CC82" s="3">
        <v>5</v>
      </c>
      <c r="CD82" s="3">
        <v>5</v>
      </c>
      <c r="CE82" s="3" t="s">
        <v>637</v>
      </c>
      <c r="CF82" s="3">
        <v>16</v>
      </c>
      <c r="CG82" s="3">
        <v>24</v>
      </c>
      <c r="CH82" s="3">
        <v>72</v>
      </c>
      <c r="CI82" s="6">
        <f>COUNTIF(AG82:BB82, "Dispone")/22</f>
        <v>0.72727272727272729</v>
      </c>
      <c r="CJ82" s="7">
        <f>AVERAGE(BC82:BL82)</f>
        <v>2.4</v>
      </c>
      <c r="CK82" s="15">
        <f>AVERAGE(BM82:CD82)</f>
        <v>4</v>
      </c>
      <c r="CL82" s="9" t="str">
        <f>IF(AND(CI82&gt;50%, CJ82&gt;2.5, CK82&gt;2.5), "Compromiso", "")</f>
        <v/>
      </c>
      <c r="CM82" s="9" t="str">
        <f>IF(AND(CI82&gt;75%, CJ82&gt;4, CK82&gt;4), "Liderazgo", "")</f>
        <v/>
      </c>
      <c r="CN82" s="9" t="str">
        <f>IF(AND(CI82&gt;90%, CJ82&gt;4.5, CK82&gt;4.5), "Transformación", "")</f>
        <v/>
      </c>
      <c r="CO82" s="9" t="s">
        <v>581</v>
      </c>
      <c r="CP82" s="3" t="s">
        <v>132</v>
      </c>
    </row>
    <row r="83" spans="1:94" ht="17.25" customHeight="1" x14ac:dyDescent="0.25">
      <c r="A83" s="12">
        <v>45929.905856481484</v>
      </c>
      <c r="B83" s="12">
        <v>45929.93309027778</v>
      </c>
      <c r="C83" s="9" t="s">
        <v>96</v>
      </c>
      <c r="D83" s="9" t="s">
        <v>600</v>
      </c>
      <c r="E83" s="13">
        <v>2353</v>
      </c>
      <c r="F83" s="9" t="s">
        <v>105</v>
      </c>
      <c r="G83" s="12">
        <v>45929.933104884258</v>
      </c>
      <c r="H83" s="9" t="s">
        <v>601</v>
      </c>
      <c r="I83" s="13">
        <v>-33.452100000000002</v>
      </c>
      <c r="J83" s="13">
        <v>-70.653599999999997</v>
      </c>
      <c r="K83" s="3" t="s">
        <v>113</v>
      </c>
      <c r="L83" s="9" t="s">
        <v>602</v>
      </c>
      <c r="M83" s="3" t="s">
        <v>603</v>
      </c>
      <c r="N83" s="9" t="s">
        <v>604</v>
      </c>
      <c r="O83" s="9" t="s">
        <v>605</v>
      </c>
      <c r="P83" s="9" t="s">
        <v>606</v>
      </c>
      <c r="Q83" s="9" t="s">
        <v>90</v>
      </c>
      <c r="R83" s="3">
        <v>1912</v>
      </c>
      <c r="S83" s="3">
        <v>5931</v>
      </c>
      <c r="T83" s="3">
        <v>5358</v>
      </c>
      <c r="U83" s="3">
        <v>32957</v>
      </c>
      <c r="V83" s="3">
        <v>0</v>
      </c>
      <c r="W83" s="9" t="s">
        <v>118</v>
      </c>
      <c r="X83" s="3">
        <v>4</v>
      </c>
      <c r="Y83" s="9" t="s">
        <v>92</v>
      </c>
      <c r="Z83" s="3">
        <v>56</v>
      </c>
      <c r="AA83" s="3">
        <v>15766143</v>
      </c>
      <c r="AB83" s="3">
        <v>0</v>
      </c>
      <c r="AC83" s="3">
        <v>0</v>
      </c>
      <c r="AD83" s="3">
        <v>229224</v>
      </c>
      <c r="AE83" s="3">
        <v>20</v>
      </c>
      <c r="AF83" s="3">
        <v>0</v>
      </c>
      <c r="AG83" s="9" t="s">
        <v>93</v>
      </c>
      <c r="AH83" s="9" t="s">
        <v>93</v>
      </c>
      <c r="AI83" s="9" t="s">
        <v>93</v>
      </c>
      <c r="AJ83" s="9" t="s">
        <v>93</v>
      </c>
      <c r="AK83" s="9" t="s">
        <v>93</v>
      </c>
      <c r="AL83" s="9" t="s">
        <v>93</v>
      </c>
      <c r="AM83" s="9" t="s">
        <v>93</v>
      </c>
      <c r="AN83" s="9" t="s">
        <v>93</v>
      </c>
      <c r="AO83" s="9" t="s">
        <v>93</v>
      </c>
      <c r="AP83" s="9" t="s">
        <v>93</v>
      </c>
      <c r="AQ83" s="9" t="s">
        <v>93</v>
      </c>
      <c r="AR83" s="9" t="s">
        <v>93</v>
      </c>
      <c r="AS83" s="9" t="s">
        <v>93</v>
      </c>
      <c r="AT83" s="9" t="s">
        <v>93</v>
      </c>
      <c r="AU83" s="9" t="s">
        <v>93</v>
      </c>
      <c r="AV83" s="9" t="s">
        <v>93</v>
      </c>
      <c r="AW83" s="9" t="s">
        <v>93</v>
      </c>
      <c r="AX83" s="9" t="s">
        <v>93</v>
      </c>
      <c r="AY83" s="9" t="s">
        <v>93</v>
      </c>
      <c r="AZ83" s="9" t="s">
        <v>93</v>
      </c>
      <c r="BA83" s="9" t="s">
        <v>93</v>
      </c>
      <c r="BB83" s="9" t="s">
        <v>93</v>
      </c>
      <c r="BC83" s="11">
        <v>5</v>
      </c>
      <c r="BD83" s="11">
        <v>5</v>
      </c>
      <c r="BE83" s="11">
        <v>1</v>
      </c>
      <c r="BF83" s="11">
        <v>2</v>
      </c>
      <c r="BG83" s="11">
        <v>2</v>
      </c>
      <c r="BH83" s="11">
        <v>2</v>
      </c>
      <c r="BI83" s="11">
        <v>2</v>
      </c>
      <c r="BJ83" s="11">
        <v>2</v>
      </c>
      <c r="BK83" s="11">
        <v>2</v>
      </c>
      <c r="BL83" s="11">
        <v>2</v>
      </c>
      <c r="BM83" s="11">
        <v>5</v>
      </c>
      <c r="BN83" s="11">
        <v>5</v>
      </c>
      <c r="BO83" s="11">
        <v>5</v>
      </c>
      <c r="BP83" s="11">
        <v>5</v>
      </c>
      <c r="BQ83" s="11">
        <v>5</v>
      </c>
      <c r="BR83" s="11">
        <v>5</v>
      </c>
      <c r="BS83" s="11">
        <v>5</v>
      </c>
      <c r="BT83" s="11">
        <v>5</v>
      </c>
      <c r="BU83" s="11">
        <v>4</v>
      </c>
      <c r="BV83" s="11">
        <v>3</v>
      </c>
      <c r="BW83" s="11">
        <v>5</v>
      </c>
      <c r="BX83" s="11">
        <v>5</v>
      </c>
      <c r="BY83" s="11">
        <v>5</v>
      </c>
      <c r="BZ83" s="11">
        <v>5</v>
      </c>
      <c r="CA83" s="11">
        <v>5</v>
      </c>
      <c r="CB83" s="11">
        <v>5</v>
      </c>
      <c r="CC83" s="11">
        <v>5</v>
      </c>
      <c r="CD83" s="11">
        <v>5</v>
      </c>
      <c r="CE83" s="9" t="s">
        <v>607</v>
      </c>
      <c r="CF83" s="3">
        <v>22</v>
      </c>
      <c r="CG83" s="3">
        <v>25</v>
      </c>
      <c r="CH83" s="3">
        <v>87</v>
      </c>
      <c r="CI83" s="6">
        <f>COUNTIF(AG83:BB83, "Dispone")/22</f>
        <v>1</v>
      </c>
      <c r="CJ83" s="7">
        <f>AVERAGE(BC83:BL83)</f>
        <v>2.5</v>
      </c>
      <c r="CK83" s="15">
        <f>AVERAGE(BM83:CD83)</f>
        <v>4.833333333333333</v>
      </c>
      <c r="CL83" s="9" t="str">
        <f>IF(AND(CI83&gt;50%, CJ83&gt;2.5, CK83&gt;2.5), "Compromiso", "")</f>
        <v/>
      </c>
      <c r="CM83" s="9" t="str">
        <f>IF(AND(CI83&gt;75%, CJ83&gt;4, CK83&gt;4), "Liderazgo", "")</f>
        <v/>
      </c>
      <c r="CN83" s="9" t="str">
        <f>IF(AND(CI83&gt;90%, CJ83&gt;4.5, CK83&gt;4.5), "Transformación", "")</f>
        <v/>
      </c>
      <c r="CO83" s="9" t="s">
        <v>581</v>
      </c>
      <c r="CP83" s="3" t="s">
        <v>95</v>
      </c>
    </row>
    <row r="84" spans="1:94" ht="17.25" customHeight="1" x14ac:dyDescent="0.25">
      <c r="A84" s="16">
        <v>45975.584027777775</v>
      </c>
      <c r="B84" s="16">
        <v>45975.609722222223</v>
      </c>
      <c r="C84" s="3" t="s">
        <v>96</v>
      </c>
      <c r="D84" s="3" t="s">
        <v>470</v>
      </c>
      <c r="E84" s="3">
        <v>2229</v>
      </c>
      <c r="F84" s="3" t="b">
        <v>1</v>
      </c>
      <c r="G84" s="16">
        <v>45975.609722222223</v>
      </c>
      <c r="H84" s="3" t="s">
        <v>471</v>
      </c>
      <c r="I84" s="3">
        <v>41.939</v>
      </c>
      <c r="J84" s="3">
        <v>2.2454000000000001</v>
      </c>
      <c r="K84" s="3" t="s">
        <v>98</v>
      </c>
      <c r="L84" s="3" t="s">
        <v>472</v>
      </c>
      <c r="M84" s="3" t="s">
        <v>473</v>
      </c>
      <c r="N84" s="3" t="s">
        <v>474</v>
      </c>
      <c r="O84" s="3" t="s">
        <v>954</v>
      </c>
      <c r="P84" s="3" t="s">
        <v>475</v>
      </c>
      <c r="Q84" s="3" t="s">
        <v>144</v>
      </c>
      <c r="R84" s="3">
        <v>1995</v>
      </c>
      <c r="S84" s="3">
        <v>258</v>
      </c>
      <c r="T84" s="3">
        <v>2802</v>
      </c>
      <c r="U84" s="3">
        <v>0</v>
      </c>
      <c r="V84" s="3">
        <v>0</v>
      </c>
      <c r="W84" s="3" t="s">
        <v>118</v>
      </c>
      <c r="X84" s="3">
        <v>1.77</v>
      </c>
      <c r="Y84" s="3" t="s">
        <v>153</v>
      </c>
      <c r="Z84" s="3">
        <v>10</v>
      </c>
      <c r="AA84" s="3">
        <v>2421</v>
      </c>
      <c r="AB84" s="3">
        <v>0</v>
      </c>
      <c r="AC84" s="3">
        <v>6410</v>
      </c>
      <c r="AD84" s="3">
        <v>2054</v>
      </c>
      <c r="AE84" s="3">
        <v>38</v>
      </c>
      <c r="AF84" s="3">
        <v>28153</v>
      </c>
      <c r="AG84" s="3" t="s">
        <v>94</v>
      </c>
      <c r="AH84" s="3" t="s">
        <v>93</v>
      </c>
      <c r="AI84" s="3" t="s">
        <v>94</v>
      </c>
      <c r="AJ84" s="3" t="s">
        <v>93</v>
      </c>
      <c r="AK84" s="3" t="s">
        <v>93</v>
      </c>
      <c r="AL84" s="3" t="s">
        <v>93</v>
      </c>
      <c r="AM84" s="3" t="s">
        <v>93</v>
      </c>
      <c r="AN84" s="3" t="s">
        <v>93</v>
      </c>
      <c r="AO84" s="3" t="s">
        <v>93</v>
      </c>
      <c r="AP84" s="3" t="s">
        <v>93</v>
      </c>
      <c r="AQ84" s="3" t="s">
        <v>93</v>
      </c>
      <c r="AR84" s="3" t="s">
        <v>93</v>
      </c>
      <c r="AS84" s="3" t="s">
        <v>93</v>
      </c>
      <c r="AT84" s="3" t="s">
        <v>93</v>
      </c>
      <c r="AU84" s="3" t="s">
        <v>93</v>
      </c>
      <c r="AV84" s="3" t="s">
        <v>93</v>
      </c>
      <c r="AW84" s="3" t="s">
        <v>93</v>
      </c>
      <c r="AX84" s="3" t="s">
        <v>93</v>
      </c>
      <c r="AY84" s="3" t="s">
        <v>93</v>
      </c>
      <c r="AZ84" s="3" t="s">
        <v>93</v>
      </c>
      <c r="BA84" s="3" t="s">
        <v>93</v>
      </c>
      <c r="BB84" s="3" t="s">
        <v>93</v>
      </c>
      <c r="BC84" s="3">
        <v>5</v>
      </c>
      <c r="BD84" s="3">
        <v>5</v>
      </c>
      <c r="BE84" s="3">
        <v>5</v>
      </c>
      <c r="BF84" s="3">
        <v>5</v>
      </c>
      <c r="BG84" s="3">
        <v>5</v>
      </c>
      <c r="BH84" s="3">
        <v>5</v>
      </c>
      <c r="BI84" s="3">
        <v>3</v>
      </c>
      <c r="BJ84" s="3">
        <v>5</v>
      </c>
      <c r="BK84" s="3">
        <v>3</v>
      </c>
      <c r="BL84" s="3">
        <v>3</v>
      </c>
      <c r="BM84" s="3">
        <v>5</v>
      </c>
      <c r="BN84" s="3">
        <v>5</v>
      </c>
      <c r="BO84" s="3">
        <v>5</v>
      </c>
      <c r="BP84" s="3">
        <v>3</v>
      </c>
      <c r="BQ84" s="3">
        <v>4</v>
      </c>
      <c r="BR84" s="3">
        <v>5</v>
      </c>
      <c r="BS84" s="3">
        <v>5</v>
      </c>
      <c r="BT84" s="3">
        <v>5</v>
      </c>
      <c r="BU84" s="3">
        <v>1</v>
      </c>
      <c r="BV84" s="3">
        <v>5</v>
      </c>
      <c r="BW84" s="3">
        <v>3</v>
      </c>
      <c r="BX84" s="3">
        <v>5</v>
      </c>
      <c r="BY84" s="3">
        <v>1</v>
      </c>
      <c r="BZ84" s="3">
        <v>5</v>
      </c>
      <c r="CA84" s="3">
        <v>5</v>
      </c>
      <c r="CB84" s="3">
        <v>5</v>
      </c>
      <c r="CC84" s="3">
        <v>5</v>
      </c>
      <c r="CD84" s="3">
        <v>5</v>
      </c>
      <c r="CF84" s="3">
        <v>20</v>
      </c>
      <c r="CG84" s="3">
        <v>44</v>
      </c>
      <c r="CH84" s="3">
        <v>77</v>
      </c>
      <c r="CI84" s="6">
        <f>COUNTIF(AG84:BB84, "Dispone")/22</f>
        <v>0.90909090909090906</v>
      </c>
      <c r="CJ84" s="7">
        <f>AVERAGE(BC84:BL84)</f>
        <v>4.4000000000000004</v>
      </c>
      <c r="CK84" s="15">
        <f>AVERAGE(BM84:CD84)</f>
        <v>4.2777777777777777</v>
      </c>
      <c r="CL84" s="9" t="str">
        <f>IF(AND(CI84&gt;50%, CJ84&gt;2.5, CK84&gt;2.5), "Compromiso", "")</f>
        <v>Compromiso</v>
      </c>
      <c r="CM84" s="9" t="str">
        <f>IF(AND(CI84&gt;75%, CJ84&gt;4, CK84&gt;4), "Liderazgo", "")</f>
        <v>Liderazgo</v>
      </c>
      <c r="CN84" s="9" t="str">
        <f>IF(AND(CI84&gt;90%, CJ84&gt;4.5, CK84&gt;4.5), "Transformación", "")</f>
        <v/>
      </c>
      <c r="CO84" s="9" t="s">
        <v>103</v>
      </c>
      <c r="CP84" s="3" t="s">
        <v>95</v>
      </c>
    </row>
    <row r="85" spans="1:94" ht="17.25" customHeight="1" x14ac:dyDescent="0.25">
      <c r="A85" s="12">
        <v>45940.570567129631</v>
      </c>
      <c r="B85" s="12">
        <v>45940.595925925925</v>
      </c>
      <c r="C85" s="9" t="s">
        <v>96</v>
      </c>
      <c r="D85" s="9" t="s">
        <v>846</v>
      </c>
      <c r="E85" s="13">
        <v>2191</v>
      </c>
      <c r="F85" s="9" t="s">
        <v>105</v>
      </c>
      <c r="G85" s="12">
        <v>45940.595936493053</v>
      </c>
      <c r="H85" s="9" t="s">
        <v>847</v>
      </c>
      <c r="I85" s="13">
        <v>-34.921500000000002</v>
      </c>
      <c r="J85" s="13">
        <v>-57.954500000000003</v>
      </c>
      <c r="K85" s="9" t="s">
        <v>98</v>
      </c>
      <c r="L85" s="9" t="s">
        <v>848</v>
      </c>
      <c r="M85" s="3" t="s">
        <v>849</v>
      </c>
      <c r="N85" s="9" t="s">
        <v>850</v>
      </c>
      <c r="O85" s="3" t="s">
        <v>955</v>
      </c>
      <c r="P85" s="9" t="s">
        <v>851</v>
      </c>
      <c r="Q85" s="9" t="s">
        <v>102</v>
      </c>
      <c r="R85" s="3">
        <v>1960</v>
      </c>
      <c r="S85" s="3">
        <v>6708</v>
      </c>
      <c r="T85" s="3">
        <v>53000</v>
      </c>
      <c r="U85" s="3">
        <v>1556</v>
      </c>
      <c r="V85" s="3">
        <v>0</v>
      </c>
      <c r="W85" s="9" t="s">
        <v>91</v>
      </c>
      <c r="X85" s="3">
        <v>182</v>
      </c>
      <c r="Y85" s="9" t="s">
        <v>153</v>
      </c>
      <c r="Z85" s="3">
        <v>53</v>
      </c>
      <c r="AA85" s="3">
        <v>7972934</v>
      </c>
      <c r="AB85" s="3">
        <v>1634</v>
      </c>
      <c r="AC85" s="3">
        <v>53</v>
      </c>
      <c r="AD85" s="3">
        <v>120144</v>
      </c>
      <c r="AE85" s="3">
        <v>22</v>
      </c>
      <c r="AF85" s="3">
        <v>17248877</v>
      </c>
      <c r="AG85" s="9" t="s">
        <v>93</v>
      </c>
      <c r="AH85" s="9" t="s">
        <v>93</v>
      </c>
      <c r="AI85" s="9" t="s">
        <v>93</v>
      </c>
      <c r="AJ85" s="9" t="s">
        <v>93</v>
      </c>
      <c r="AK85" s="9" t="s">
        <v>93</v>
      </c>
      <c r="AL85" s="9" t="s">
        <v>93</v>
      </c>
      <c r="AM85" s="9" t="s">
        <v>93</v>
      </c>
      <c r="AN85" s="9" t="s">
        <v>93</v>
      </c>
      <c r="AO85" s="9" t="s">
        <v>93</v>
      </c>
      <c r="AP85" s="9" t="s">
        <v>93</v>
      </c>
      <c r="AQ85" s="9" t="s">
        <v>93</v>
      </c>
      <c r="AR85" s="9" t="s">
        <v>93</v>
      </c>
      <c r="AS85" s="9" t="s">
        <v>93</v>
      </c>
      <c r="AT85" s="9" t="s">
        <v>93</v>
      </c>
      <c r="AU85" s="9" t="s">
        <v>93</v>
      </c>
      <c r="AV85" s="9" t="s">
        <v>93</v>
      </c>
      <c r="AW85" s="9" t="s">
        <v>93</v>
      </c>
      <c r="AX85" s="9" t="s">
        <v>93</v>
      </c>
      <c r="AY85" s="9" t="s">
        <v>93</v>
      </c>
      <c r="AZ85" s="9" t="s">
        <v>93</v>
      </c>
      <c r="BA85" s="9" t="s">
        <v>93</v>
      </c>
      <c r="BB85" s="9" t="s">
        <v>93</v>
      </c>
      <c r="BC85" s="11">
        <v>5</v>
      </c>
      <c r="BD85" s="11">
        <v>5</v>
      </c>
      <c r="BE85" s="11">
        <v>5</v>
      </c>
      <c r="BF85" s="11">
        <v>5</v>
      </c>
      <c r="BG85" s="11">
        <v>5</v>
      </c>
      <c r="BH85" s="11">
        <v>5</v>
      </c>
      <c r="BI85" s="11">
        <v>5</v>
      </c>
      <c r="BJ85" s="11">
        <v>5</v>
      </c>
      <c r="BK85" s="11">
        <v>5</v>
      </c>
      <c r="BL85" s="11">
        <v>4</v>
      </c>
      <c r="BM85" s="11">
        <v>5</v>
      </c>
      <c r="BN85" s="11">
        <v>5</v>
      </c>
      <c r="BO85" s="11">
        <v>5</v>
      </c>
      <c r="BP85" s="11">
        <v>5</v>
      </c>
      <c r="BQ85" s="11">
        <v>4</v>
      </c>
      <c r="BR85" s="11">
        <v>5</v>
      </c>
      <c r="BS85" s="11">
        <v>5</v>
      </c>
      <c r="BT85" s="11">
        <v>5</v>
      </c>
      <c r="BU85" s="11">
        <v>5</v>
      </c>
      <c r="BV85" s="11">
        <v>5</v>
      </c>
      <c r="BW85" s="11">
        <v>5</v>
      </c>
      <c r="BX85" s="11">
        <v>5</v>
      </c>
      <c r="BY85" s="11">
        <v>5</v>
      </c>
      <c r="BZ85" s="11">
        <v>5</v>
      </c>
      <c r="CA85" s="11">
        <v>5</v>
      </c>
      <c r="CB85" s="11">
        <v>5</v>
      </c>
      <c r="CC85" s="11">
        <v>5</v>
      </c>
      <c r="CD85" s="11">
        <v>5</v>
      </c>
      <c r="CE85" s="9"/>
      <c r="CF85" s="3">
        <v>22</v>
      </c>
      <c r="CG85" s="3">
        <v>49</v>
      </c>
      <c r="CH85" s="3">
        <v>89</v>
      </c>
      <c r="CI85" s="6">
        <f>COUNTIF(AG85:BB85, "Dispone")/22</f>
        <v>1</v>
      </c>
      <c r="CJ85" s="7">
        <f>AVERAGE(BC85:BL85)</f>
        <v>4.9000000000000004</v>
      </c>
      <c r="CK85" s="15">
        <f>AVERAGE(BM85:CD85)</f>
        <v>4.9444444444444446</v>
      </c>
      <c r="CL85" s="9" t="str">
        <f>IF(AND(CI85&gt;50%, CJ85&gt;2.5, CK85&gt;2.5), "Compromiso", "")</f>
        <v>Compromiso</v>
      </c>
      <c r="CM85" s="9" t="str">
        <f>IF(AND(CI85&gt;75%, CJ85&gt;4, CK85&gt;4), "Liderazgo", "")</f>
        <v>Liderazgo</v>
      </c>
      <c r="CN85" s="9" t="str">
        <f>IF(AND(CI85&gt;90%, CJ85&gt;4.5, CK85&gt;4.5), "Transformación", "")</f>
        <v>Transformación</v>
      </c>
      <c r="CO85" s="9" t="s">
        <v>132</v>
      </c>
      <c r="CP85" s="3" t="s">
        <v>95</v>
      </c>
    </row>
    <row r="86" spans="1:94" ht="17.25" customHeight="1" x14ac:dyDescent="0.25">
      <c r="A86" s="12">
        <v>45894.927372685182</v>
      </c>
      <c r="B86" s="12">
        <v>45894.952152777776</v>
      </c>
      <c r="C86" s="9" t="s">
        <v>96</v>
      </c>
      <c r="D86" s="9" t="s">
        <v>654</v>
      </c>
      <c r="E86" s="13">
        <v>2141</v>
      </c>
      <c r="F86" s="9" t="s">
        <v>105</v>
      </c>
      <c r="G86" s="12">
        <v>45894.952164282404</v>
      </c>
      <c r="H86" s="9" t="s">
        <v>655</v>
      </c>
      <c r="I86" s="13">
        <v>-21.748999999999999</v>
      </c>
      <c r="J86" s="13">
        <v>-43.438200000000002</v>
      </c>
      <c r="K86" s="9" t="s">
        <v>113</v>
      </c>
      <c r="L86" s="9" t="s">
        <v>656</v>
      </c>
      <c r="M86" s="3" t="s">
        <v>657</v>
      </c>
      <c r="N86" s="9" t="s">
        <v>658</v>
      </c>
      <c r="O86" s="3" t="s">
        <v>956</v>
      </c>
      <c r="P86" s="9" t="s">
        <v>659</v>
      </c>
      <c r="Q86" s="9" t="s">
        <v>90</v>
      </c>
      <c r="R86" s="3">
        <v>2010</v>
      </c>
      <c r="S86" s="3">
        <v>821</v>
      </c>
      <c r="T86" s="3">
        <v>6.6870000000000003</v>
      </c>
      <c r="U86" s="3">
        <v>127</v>
      </c>
      <c r="V86" s="3">
        <v>0</v>
      </c>
      <c r="W86" s="9" t="s">
        <v>118</v>
      </c>
      <c r="X86" s="3">
        <v>0</v>
      </c>
      <c r="Y86" s="9" t="s">
        <v>153</v>
      </c>
      <c r="Z86" s="3">
        <v>7</v>
      </c>
      <c r="AA86" s="3">
        <v>114077</v>
      </c>
      <c r="AB86" s="3">
        <v>0</v>
      </c>
      <c r="AC86" s="3">
        <v>0</v>
      </c>
      <c r="AD86" s="3">
        <v>0</v>
      </c>
      <c r="AE86" s="3">
        <v>0</v>
      </c>
      <c r="AF86" s="3">
        <v>0</v>
      </c>
      <c r="AG86" s="9" t="s">
        <v>93</v>
      </c>
      <c r="AH86" s="9" t="s">
        <v>93</v>
      </c>
      <c r="AI86" s="9" t="s">
        <v>94</v>
      </c>
      <c r="AJ86" s="9" t="s">
        <v>93</v>
      </c>
      <c r="AK86" s="9" t="s">
        <v>93</v>
      </c>
      <c r="AL86" s="9" t="s">
        <v>93</v>
      </c>
      <c r="AM86" s="9" t="s">
        <v>94</v>
      </c>
      <c r="AN86" s="9" t="s">
        <v>93</v>
      </c>
      <c r="AO86" s="9" t="s">
        <v>93</v>
      </c>
      <c r="AP86" s="9" t="s">
        <v>93</v>
      </c>
      <c r="AQ86" s="9" t="s">
        <v>93</v>
      </c>
      <c r="AR86" s="9" t="s">
        <v>93</v>
      </c>
      <c r="AS86" s="9" t="s">
        <v>93</v>
      </c>
      <c r="AT86" s="9" t="s">
        <v>93</v>
      </c>
      <c r="AU86" s="9" t="s">
        <v>93</v>
      </c>
      <c r="AV86" s="9" t="s">
        <v>93</v>
      </c>
      <c r="AW86" s="9" t="s">
        <v>94</v>
      </c>
      <c r="AX86" s="9" t="s">
        <v>94</v>
      </c>
      <c r="AY86" s="9" t="s">
        <v>94</v>
      </c>
      <c r="AZ86" s="9" t="s">
        <v>93</v>
      </c>
      <c r="BA86" s="9" t="s">
        <v>93</v>
      </c>
      <c r="BB86" s="9" t="s">
        <v>93</v>
      </c>
      <c r="BC86" s="11">
        <v>3</v>
      </c>
      <c r="BD86" s="11">
        <v>3</v>
      </c>
      <c r="BE86" s="11">
        <v>1</v>
      </c>
      <c r="BF86" s="11">
        <v>2</v>
      </c>
      <c r="BG86" s="11">
        <v>2</v>
      </c>
      <c r="BH86" s="11">
        <v>2</v>
      </c>
      <c r="BI86" s="11">
        <v>1</v>
      </c>
      <c r="BJ86" s="11">
        <v>2</v>
      </c>
      <c r="BK86" s="11">
        <v>2</v>
      </c>
      <c r="BL86" s="11">
        <v>2</v>
      </c>
      <c r="BM86" s="11">
        <v>3</v>
      </c>
      <c r="BN86" s="11">
        <v>3</v>
      </c>
      <c r="BO86" s="11">
        <v>3</v>
      </c>
      <c r="BP86" s="11">
        <v>3</v>
      </c>
      <c r="BQ86" s="11">
        <v>2</v>
      </c>
      <c r="BR86" s="11">
        <v>2</v>
      </c>
      <c r="BS86" s="11">
        <v>2</v>
      </c>
      <c r="BT86" s="11">
        <v>3</v>
      </c>
      <c r="BU86" s="11">
        <v>2</v>
      </c>
      <c r="BV86" s="11">
        <v>2</v>
      </c>
      <c r="BW86" s="11">
        <v>3</v>
      </c>
      <c r="BX86" s="11">
        <v>2</v>
      </c>
      <c r="BY86" s="11">
        <v>3</v>
      </c>
      <c r="BZ86" s="11">
        <v>3</v>
      </c>
      <c r="CA86" s="11">
        <v>3</v>
      </c>
      <c r="CB86" s="11">
        <v>3</v>
      </c>
      <c r="CC86" s="11">
        <v>2</v>
      </c>
      <c r="CD86" s="11">
        <v>3</v>
      </c>
      <c r="CE86" s="9" t="s">
        <v>660</v>
      </c>
      <c r="CF86" s="3">
        <v>17</v>
      </c>
      <c r="CG86" s="3">
        <v>20</v>
      </c>
      <c r="CH86" s="3">
        <v>47</v>
      </c>
      <c r="CI86" s="6">
        <f>COUNTIF(AG86:BB86, "Dispone")/22</f>
        <v>0.77272727272727271</v>
      </c>
      <c r="CJ86" s="7">
        <f>AVERAGE(BC86:BL86)</f>
        <v>2</v>
      </c>
      <c r="CK86" s="15">
        <f>AVERAGE(BM86:CD86)</f>
        <v>2.6111111111111112</v>
      </c>
      <c r="CL86" s="9" t="str">
        <f>IF(AND(CI86&gt;50%, CJ86&gt;2.5, CK86&gt;2.5), "Compromiso", "")</f>
        <v/>
      </c>
      <c r="CM86" s="9" t="str">
        <f>IF(AND(CI86&gt;75%, CJ86&gt;4, CK86&gt;4), "Liderazgo", "")</f>
        <v/>
      </c>
      <c r="CN86" s="9" t="str">
        <f>IF(AND(CI86&gt;90%, CJ86&gt;4.5, CK86&gt;4.5), "Transformación", "")</f>
        <v/>
      </c>
      <c r="CO86" s="9" t="s">
        <v>581</v>
      </c>
      <c r="CP86" s="3" t="s">
        <v>95</v>
      </c>
    </row>
    <row r="87" spans="1:94" ht="17.25" customHeight="1" x14ac:dyDescent="0.25">
      <c r="A87" s="12">
        <v>45897.898020833331</v>
      </c>
      <c r="B87" s="12">
        <v>45897.922175925924</v>
      </c>
      <c r="C87" s="9" t="s">
        <v>96</v>
      </c>
      <c r="D87" s="9" t="s">
        <v>362</v>
      </c>
      <c r="E87" s="13">
        <v>2086</v>
      </c>
      <c r="F87" s="9" t="s">
        <v>105</v>
      </c>
      <c r="G87" s="12">
        <v>45897.922187071759</v>
      </c>
      <c r="H87" s="9" t="s">
        <v>363</v>
      </c>
      <c r="I87" s="13">
        <v>-33.452100000000002</v>
      </c>
      <c r="J87" s="13">
        <v>-70.653599999999997</v>
      </c>
      <c r="K87" s="9" t="s">
        <v>98</v>
      </c>
      <c r="L87" s="9" t="s">
        <v>364</v>
      </c>
      <c r="M87" s="3" t="s">
        <v>365</v>
      </c>
      <c r="N87" s="9" t="s">
        <v>366</v>
      </c>
      <c r="O87" s="3" t="s">
        <v>957</v>
      </c>
      <c r="P87" s="14" t="s">
        <v>1017</v>
      </c>
      <c r="Q87" s="9" t="s">
        <v>130</v>
      </c>
      <c r="R87" s="3">
        <v>1218</v>
      </c>
      <c r="S87" s="3">
        <v>4475</v>
      </c>
      <c r="T87" s="3">
        <v>24136</v>
      </c>
      <c r="U87" s="3">
        <v>92</v>
      </c>
      <c r="V87" s="3">
        <v>163</v>
      </c>
      <c r="W87" s="9" t="s">
        <v>118</v>
      </c>
      <c r="X87" s="3">
        <v>13.21</v>
      </c>
      <c r="Y87" s="9" t="s">
        <v>92</v>
      </c>
      <c r="Z87" s="3">
        <v>81</v>
      </c>
      <c r="AA87" s="3">
        <v>34421902</v>
      </c>
      <c r="AB87" s="3">
        <v>4098574</v>
      </c>
      <c r="AC87" s="3">
        <v>75</v>
      </c>
      <c r="AD87" s="3">
        <v>224136</v>
      </c>
      <c r="AE87" s="3">
        <v>56</v>
      </c>
      <c r="AF87" s="3">
        <v>40000</v>
      </c>
      <c r="AG87" s="9" t="s">
        <v>94</v>
      </c>
      <c r="AH87" s="9" t="s">
        <v>93</v>
      </c>
      <c r="AI87" s="9" t="s">
        <v>94</v>
      </c>
      <c r="AJ87" s="9" t="s">
        <v>93</v>
      </c>
      <c r="AK87" s="9" t="s">
        <v>93</v>
      </c>
      <c r="AL87" s="9" t="s">
        <v>93</v>
      </c>
      <c r="AM87" s="9" t="s">
        <v>93</v>
      </c>
      <c r="AN87" s="9" t="s">
        <v>93</v>
      </c>
      <c r="AO87" s="9" t="s">
        <v>93</v>
      </c>
      <c r="AP87" s="9" t="s">
        <v>93</v>
      </c>
      <c r="AQ87" s="9" t="s">
        <v>94</v>
      </c>
      <c r="AR87" s="9" t="s">
        <v>93</v>
      </c>
      <c r="AS87" s="9" t="s">
        <v>93</v>
      </c>
      <c r="AT87" s="9" t="s">
        <v>93</v>
      </c>
      <c r="AU87" s="9" t="s">
        <v>93</v>
      </c>
      <c r="AV87" s="9" t="s">
        <v>93</v>
      </c>
      <c r="AW87" s="9" t="s">
        <v>93</v>
      </c>
      <c r="AX87" s="9" t="s">
        <v>94</v>
      </c>
      <c r="AY87" s="9" t="s">
        <v>93</v>
      </c>
      <c r="AZ87" s="9" t="s">
        <v>94</v>
      </c>
      <c r="BA87" s="9" t="s">
        <v>93</v>
      </c>
      <c r="BB87" s="9" t="s">
        <v>93</v>
      </c>
      <c r="BC87" s="11">
        <v>3</v>
      </c>
      <c r="BD87" s="11">
        <v>3</v>
      </c>
      <c r="BE87" s="11">
        <v>2</v>
      </c>
      <c r="BF87" s="11">
        <v>2</v>
      </c>
      <c r="BG87" s="11">
        <v>2</v>
      </c>
      <c r="BH87" s="11">
        <v>3</v>
      </c>
      <c r="BI87" s="11">
        <v>3</v>
      </c>
      <c r="BJ87" s="11">
        <v>4</v>
      </c>
      <c r="BK87" s="11">
        <v>2</v>
      </c>
      <c r="BL87" s="11">
        <v>2</v>
      </c>
      <c r="BM87" s="11">
        <v>4</v>
      </c>
      <c r="BN87" s="11">
        <v>5</v>
      </c>
      <c r="BO87" s="11">
        <v>3</v>
      </c>
      <c r="BP87" s="11">
        <v>2</v>
      </c>
      <c r="BQ87" s="11">
        <v>3</v>
      </c>
      <c r="BR87" s="11">
        <v>5</v>
      </c>
      <c r="BS87" s="11">
        <v>3</v>
      </c>
      <c r="BT87" s="11">
        <v>4</v>
      </c>
      <c r="BU87" s="11">
        <v>4</v>
      </c>
      <c r="BV87" s="11">
        <v>5</v>
      </c>
      <c r="BW87" s="11">
        <v>4</v>
      </c>
      <c r="BX87" s="11">
        <v>5</v>
      </c>
      <c r="BY87" s="11">
        <v>5</v>
      </c>
      <c r="BZ87" s="11">
        <v>5</v>
      </c>
      <c r="CA87" s="11">
        <v>5</v>
      </c>
      <c r="CB87" s="11">
        <v>4</v>
      </c>
      <c r="CC87" s="11">
        <v>5</v>
      </c>
      <c r="CD87" s="11">
        <v>5</v>
      </c>
      <c r="CE87" s="9" t="s">
        <v>367</v>
      </c>
      <c r="CF87" s="3">
        <v>17</v>
      </c>
      <c r="CG87" s="3">
        <v>26</v>
      </c>
      <c r="CH87" s="3">
        <v>76</v>
      </c>
      <c r="CI87" s="6">
        <f>COUNTIF(AG87:BB87, "Dispone")/22</f>
        <v>0.77272727272727271</v>
      </c>
      <c r="CJ87" s="7">
        <f>AVERAGE(BC87:BL87)</f>
        <v>2.6</v>
      </c>
      <c r="CK87" s="15">
        <f>AVERAGE(BM87:CD87)</f>
        <v>4.2222222222222223</v>
      </c>
      <c r="CL87" s="9" t="str">
        <f>IF(AND(CI87&gt;50%, CJ87&gt;2.5, CK87&gt;2.5), "Compromiso", "")</f>
        <v>Compromiso</v>
      </c>
      <c r="CM87" s="9" t="str">
        <f>IF(AND(CI87&gt;75%, CJ87&gt;4, CK87&gt;4), "Liderazgo", "")</f>
        <v/>
      </c>
      <c r="CN87" s="9" t="str">
        <f>IF(AND(CI87&gt;90%, CJ87&gt;4.5, CK87&gt;4.5), "Transformación", "")</f>
        <v/>
      </c>
      <c r="CO87" s="9" t="s">
        <v>95</v>
      </c>
      <c r="CP87" s="3" t="s">
        <v>146</v>
      </c>
    </row>
    <row r="88" spans="1:94" ht="17.25" customHeight="1" x14ac:dyDescent="0.25">
      <c r="A88" s="12">
        <v>45911.780138888891</v>
      </c>
      <c r="B88" s="12">
        <v>45911.804178240738</v>
      </c>
      <c r="C88" s="9" t="s">
        <v>96</v>
      </c>
      <c r="D88" s="9" t="s">
        <v>155</v>
      </c>
      <c r="E88" s="13">
        <v>2077</v>
      </c>
      <c r="F88" s="9" t="s">
        <v>105</v>
      </c>
      <c r="G88" s="12">
        <v>45911.804189490744</v>
      </c>
      <c r="H88" s="9" t="s">
        <v>156</v>
      </c>
      <c r="I88" s="13">
        <v>41.640500000000003</v>
      </c>
      <c r="J88" s="13">
        <v>-0.88139999999999996</v>
      </c>
      <c r="K88" s="9" t="s">
        <v>98</v>
      </c>
      <c r="L88" s="9" t="s">
        <v>157</v>
      </c>
      <c r="M88" s="3" t="s">
        <v>158</v>
      </c>
      <c r="N88" s="9" t="s">
        <v>159</v>
      </c>
      <c r="O88" s="3" t="s">
        <v>910</v>
      </c>
      <c r="P88" s="9" t="s">
        <v>160</v>
      </c>
      <c r="Q88" s="9" t="s">
        <v>144</v>
      </c>
      <c r="R88" s="3">
        <v>1969</v>
      </c>
      <c r="S88" s="3">
        <v>3013</v>
      </c>
      <c r="T88" s="3">
        <v>12459</v>
      </c>
      <c r="U88" s="3">
        <v>0</v>
      </c>
      <c r="V88" s="3">
        <v>0</v>
      </c>
      <c r="W88" s="9" t="s">
        <v>91</v>
      </c>
      <c r="X88" s="3">
        <v>1</v>
      </c>
      <c r="Y88" s="9" t="s">
        <v>92</v>
      </c>
      <c r="Z88" s="3">
        <v>18</v>
      </c>
      <c r="AA88" s="3">
        <v>16687000</v>
      </c>
      <c r="AB88" s="3">
        <v>8304</v>
      </c>
      <c r="AC88" s="3">
        <v>0</v>
      </c>
      <c r="AD88" s="3">
        <v>406472</v>
      </c>
      <c r="AE88" s="3">
        <v>65</v>
      </c>
      <c r="AF88" s="3">
        <v>500000</v>
      </c>
      <c r="AG88" s="9" t="s">
        <v>94</v>
      </c>
      <c r="AH88" s="9" t="s">
        <v>93</v>
      </c>
      <c r="AI88" s="9" t="s">
        <v>93</v>
      </c>
      <c r="AJ88" s="9" t="s">
        <v>93</v>
      </c>
      <c r="AK88" s="9" t="s">
        <v>93</v>
      </c>
      <c r="AL88" s="9" t="s">
        <v>93</v>
      </c>
      <c r="AM88" s="9" t="s">
        <v>93</v>
      </c>
      <c r="AN88" s="9" t="s">
        <v>94</v>
      </c>
      <c r="AO88" s="9" t="s">
        <v>93</v>
      </c>
      <c r="AP88" s="9" t="s">
        <v>93</v>
      </c>
      <c r="AQ88" s="9" t="s">
        <v>93</v>
      </c>
      <c r="AR88" s="9" t="s">
        <v>93</v>
      </c>
      <c r="AS88" s="9" t="s">
        <v>93</v>
      </c>
      <c r="AT88" s="9" t="s">
        <v>93</v>
      </c>
      <c r="AU88" s="9" t="s">
        <v>93</v>
      </c>
      <c r="AV88" s="9" t="s">
        <v>93</v>
      </c>
      <c r="AW88" s="9" t="s">
        <v>93</v>
      </c>
      <c r="AX88" s="9" t="s">
        <v>93</v>
      </c>
      <c r="AY88" s="9" t="s">
        <v>93</v>
      </c>
      <c r="AZ88" s="9" t="s">
        <v>93</v>
      </c>
      <c r="BA88" s="9" t="s">
        <v>94</v>
      </c>
      <c r="BB88" s="9" t="s">
        <v>94</v>
      </c>
      <c r="BC88" s="11">
        <v>4</v>
      </c>
      <c r="BD88" s="11">
        <v>4</v>
      </c>
      <c r="BE88" s="11">
        <v>3</v>
      </c>
      <c r="BF88" s="11">
        <v>4</v>
      </c>
      <c r="BG88" s="11">
        <v>2</v>
      </c>
      <c r="BH88" s="11">
        <v>4</v>
      </c>
      <c r="BI88" s="11">
        <v>2</v>
      </c>
      <c r="BJ88" s="11">
        <v>5</v>
      </c>
      <c r="BK88" s="11">
        <v>3</v>
      </c>
      <c r="BL88" s="11">
        <v>4</v>
      </c>
      <c r="BM88" s="11">
        <v>5</v>
      </c>
      <c r="BN88" s="11">
        <v>4</v>
      </c>
      <c r="BO88" s="11">
        <v>5</v>
      </c>
      <c r="BP88" s="11">
        <v>5</v>
      </c>
      <c r="BQ88" s="11">
        <v>4</v>
      </c>
      <c r="BR88" s="11">
        <v>5</v>
      </c>
      <c r="BS88" s="11">
        <v>5</v>
      </c>
      <c r="BT88" s="11">
        <v>5</v>
      </c>
      <c r="BU88" s="11">
        <v>5</v>
      </c>
      <c r="BV88" s="11">
        <v>5</v>
      </c>
      <c r="BW88" s="11">
        <v>5</v>
      </c>
      <c r="BX88" s="11">
        <v>5</v>
      </c>
      <c r="BY88" s="11">
        <v>5</v>
      </c>
      <c r="BZ88" s="11">
        <v>5</v>
      </c>
      <c r="CA88" s="11">
        <v>5</v>
      </c>
      <c r="CB88" s="11">
        <v>5</v>
      </c>
      <c r="CC88" s="11">
        <v>5</v>
      </c>
      <c r="CD88" s="11">
        <v>5</v>
      </c>
      <c r="CE88" s="9"/>
      <c r="CF88" s="3">
        <v>18</v>
      </c>
      <c r="CG88" s="3">
        <v>35</v>
      </c>
      <c r="CH88" s="3">
        <v>88</v>
      </c>
      <c r="CI88" s="6">
        <f>COUNTIF(AG88:BB88, "Dispone")/22</f>
        <v>0.81818181818181823</v>
      </c>
      <c r="CJ88" s="7">
        <f>AVERAGE(BC88:BL88)</f>
        <v>3.5</v>
      </c>
      <c r="CK88" s="15">
        <f>AVERAGE(BM88:CD88)</f>
        <v>4.8888888888888893</v>
      </c>
      <c r="CL88" s="9" t="str">
        <f>IF(AND(CI88&gt;50%, CJ88&gt;2.5, CK88&gt;2.5), "Compromiso", "")</f>
        <v>Compromiso</v>
      </c>
      <c r="CM88" s="9" t="str">
        <f>IF(AND(CI88&gt;75%, CJ88&gt;4, CK88&gt;4), "Liderazgo", "")</f>
        <v/>
      </c>
      <c r="CN88" s="9" t="str">
        <f>IF(AND(CI88&gt;90%, CJ88&gt;4.5, CK88&gt;4.5), "Transformación", "")</f>
        <v/>
      </c>
      <c r="CO88" s="9" t="s">
        <v>95</v>
      </c>
      <c r="CP88" s="3" t="s">
        <v>95</v>
      </c>
    </row>
    <row r="89" spans="1:94" ht="17.25" customHeight="1" x14ac:dyDescent="0.25">
      <c r="A89" s="12">
        <v>45898.779745370368</v>
      </c>
      <c r="B89" s="12">
        <v>45898.803310185183</v>
      </c>
      <c r="C89" s="9" t="s">
        <v>96</v>
      </c>
      <c r="D89" s="9" t="s">
        <v>147</v>
      </c>
      <c r="E89" s="13">
        <v>2035</v>
      </c>
      <c r="F89" s="9" t="s">
        <v>105</v>
      </c>
      <c r="G89" s="12">
        <v>45898.803326689813</v>
      </c>
      <c r="H89" s="9" t="s">
        <v>148</v>
      </c>
      <c r="I89" s="13">
        <v>-38.717599999999997</v>
      </c>
      <c r="J89" s="13">
        <v>-62.265500000000003</v>
      </c>
      <c r="K89" s="9" t="s">
        <v>98</v>
      </c>
      <c r="L89" s="9" t="s">
        <v>149</v>
      </c>
      <c r="M89" s="3" t="s">
        <v>150</v>
      </c>
      <c r="N89" s="9" t="s">
        <v>151</v>
      </c>
      <c r="O89" s="3" t="s">
        <v>958</v>
      </c>
      <c r="P89" s="9" t="s">
        <v>152</v>
      </c>
      <c r="Q89" s="9" t="s">
        <v>130</v>
      </c>
      <c r="R89" s="3">
        <v>1994</v>
      </c>
      <c r="S89" s="3">
        <v>136</v>
      </c>
      <c r="T89" s="3">
        <v>2.387</v>
      </c>
      <c r="U89" s="3">
        <v>1.694</v>
      </c>
      <c r="V89" s="3">
        <v>1.145</v>
      </c>
      <c r="W89" s="9" t="s">
        <v>118</v>
      </c>
      <c r="X89" s="3">
        <v>13.39</v>
      </c>
      <c r="Y89" s="9" t="s">
        <v>153</v>
      </c>
      <c r="Z89" s="3">
        <v>4</v>
      </c>
      <c r="AA89" s="3">
        <v>1045070</v>
      </c>
      <c r="AB89" s="3">
        <v>359</v>
      </c>
      <c r="AC89" s="3">
        <v>44</v>
      </c>
      <c r="AD89" s="3">
        <v>4141</v>
      </c>
      <c r="AE89" s="3">
        <v>6</v>
      </c>
      <c r="AF89" s="3">
        <v>9999</v>
      </c>
      <c r="AG89" s="9" t="s">
        <v>93</v>
      </c>
      <c r="AH89" s="9" t="s">
        <v>93</v>
      </c>
      <c r="AI89" s="9" t="s">
        <v>94</v>
      </c>
      <c r="AJ89" s="9" t="s">
        <v>93</v>
      </c>
      <c r="AK89" s="9" t="s">
        <v>93</v>
      </c>
      <c r="AL89" s="9" t="s">
        <v>93</v>
      </c>
      <c r="AM89" s="9" t="s">
        <v>93</v>
      </c>
      <c r="AN89" s="9" t="s">
        <v>93</v>
      </c>
      <c r="AO89" s="9" t="s">
        <v>93</v>
      </c>
      <c r="AP89" s="9" t="s">
        <v>93</v>
      </c>
      <c r="AQ89" s="9" t="s">
        <v>93</v>
      </c>
      <c r="AR89" s="9" t="s">
        <v>93</v>
      </c>
      <c r="AS89" s="9" t="s">
        <v>93</v>
      </c>
      <c r="AT89" s="9" t="s">
        <v>93</v>
      </c>
      <c r="AU89" s="9" t="s">
        <v>93</v>
      </c>
      <c r="AV89" s="9" t="s">
        <v>93</v>
      </c>
      <c r="AW89" s="9" t="s">
        <v>94</v>
      </c>
      <c r="AX89" s="9" t="s">
        <v>93</v>
      </c>
      <c r="AY89" s="9" t="s">
        <v>93</v>
      </c>
      <c r="AZ89" s="9" t="s">
        <v>93</v>
      </c>
      <c r="BA89" s="9" t="s">
        <v>93</v>
      </c>
      <c r="BB89" s="9" t="s">
        <v>93</v>
      </c>
      <c r="BC89" s="11">
        <v>2</v>
      </c>
      <c r="BD89" s="11">
        <v>2</v>
      </c>
      <c r="BE89" s="11">
        <v>3</v>
      </c>
      <c r="BF89" s="11">
        <v>3</v>
      </c>
      <c r="BG89" s="11">
        <v>3</v>
      </c>
      <c r="BH89" s="11">
        <v>3</v>
      </c>
      <c r="BI89" s="11">
        <v>2</v>
      </c>
      <c r="BJ89" s="11">
        <v>4</v>
      </c>
      <c r="BK89" s="11">
        <v>4</v>
      </c>
      <c r="BL89" s="11">
        <v>3</v>
      </c>
      <c r="BM89" s="11">
        <v>5</v>
      </c>
      <c r="BN89" s="11">
        <v>4</v>
      </c>
      <c r="BO89" s="11">
        <v>4</v>
      </c>
      <c r="BP89" s="11">
        <v>5</v>
      </c>
      <c r="BQ89" s="11">
        <v>5</v>
      </c>
      <c r="BR89" s="11">
        <v>5</v>
      </c>
      <c r="BS89" s="11">
        <v>5</v>
      </c>
      <c r="BT89" s="11">
        <v>3</v>
      </c>
      <c r="BU89" s="11">
        <v>4</v>
      </c>
      <c r="BV89" s="11">
        <v>4</v>
      </c>
      <c r="BW89" s="11">
        <v>4</v>
      </c>
      <c r="BX89" s="11">
        <v>5</v>
      </c>
      <c r="BY89" s="11">
        <v>5</v>
      </c>
      <c r="BZ89" s="11">
        <v>5</v>
      </c>
      <c r="CA89" s="11">
        <v>5</v>
      </c>
      <c r="CB89" s="11">
        <v>5</v>
      </c>
      <c r="CC89" s="11">
        <v>5</v>
      </c>
      <c r="CD89" s="11">
        <v>4</v>
      </c>
      <c r="CE89" s="9" t="s">
        <v>154</v>
      </c>
      <c r="CF89" s="3">
        <v>20</v>
      </c>
      <c r="CG89" s="3">
        <v>29</v>
      </c>
      <c r="CH89" s="3">
        <v>82</v>
      </c>
      <c r="CI89" s="6">
        <f>COUNTIF(AG89:BB89, "Dispone")/22</f>
        <v>0.90909090909090906</v>
      </c>
      <c r="CJ89" s="7">
        <f>AVERAGE(BC89:BL89)</f>
        <v>2.9</v>
      </c>
      <c r="CK89" s="15">
        <f>AVERAGE(BM89:CD89)</f>
        <v>4.5555555555555554</v>
      </c>
      <c r="CL89" s="9" t="str">
        <f>IF(AND(CI89&gt;50%, CJ89&gt;2.5, CK89&gt;2.5), "Compromiso", "")</f>
        <v>Compromiso</v>
      </c>
      <c r="CM89" s="9" t="str">
        <f>IF(AND(CI89&gt;75%, CJ89&gt;4, CK89&gt;4), "Liderazgo", "")</f>
        <v/>
      </c>
      <c r="CN89" s="9" t="str">
        <f>IF(AND(CI89&gt;90%, CJ89&gt;4.5, CK89&gt;4.5), "Transformación", "")</f>
        <v/>
      </c>
      <c r="CO89" s="9" t="s">
        <v>95</v>
      </c>
      <c r="CP89" s="3" t="s">
        <v>95</v>
      </c>
    </row>
    <row r="90" spans="1:94" ht="17.25" customHeight="1" x14ac:dyDescent="0.25">
      <c r="A90" s="12">
        <v>45888.63616898148</v>
      </c>
      <c r="B90" s="12">
        <v>45888.658946759257</v>
      </c>
      <c r="C90" s="9" t="s">
        <v>96</v>
      </c>
      <c r="D90" s="9" t="s">
        <v>111</v>
      </c>
      <c r="E90" s="13">
        <v>1968</v>
      </c>
      <c r="F90" s="9" t="s">
        <v>105</v>
      </c>
      <c r="G90" s="12">
        <v>45888.65896547454</v>
      </c>
      <c r="H90" s="9" t="s">
        <v>112</v>
      </c>
      <c r="I90" s="13">
        <v>-22.313800000000001</v>
      </c>
      <c r="J90" s="13">
        <v>-47.315899999999999</v>
      </c>
      <c r="K90" s="9" t="s">
        <v>98</v>
      </c>
      <c r="L90" s="9" t="s">
        <v>114</v>
      </c>
      <c r="M90" s="3" t="s">
        <v>115</v>
      </c>
      <c r="N90" s="9" t="s">
        <v>116</v>
      </c>
      <c r="O90" s="3" t="s">
        <v>904</v>
      </c>
      <c r="P90" s="14" t="s">
        <v>1018</v>
      </c>
      <c r="Q90" s="9" t="s">
        <v>117</v>
      </c>
      <c r="R90" s="3">
        <v>1958</v>
      </c>
      <c r="S90" s="3">
        <v>2020</v>
      </c>
      <c r="T90" s="3">
        <v>8461</v>
      </c>
      <c r="U90" s="3">
        <v>63</v>
      </c>
      <c r="V90" s="3">
        <v>1053</v>
      </c>
      <c r="W90" s="9" t="s">
        <v>118</v>
      </c>
      <c r="X90" s="3">
        <v>0</v>
      </c>
      <c r="Y90" s="9" t="s">
        <v>92</v>
      </c>
      <c r="Z90" s="3">
        <v>113</v>
      </c>
      <c r="AA90" s="3">
        <v>11208732</v>
      </c>
      <c r="AB90" s="3">
        <v>1898</v>
      </c>
      <c r="AC90" s="3">
        <v>2</v>
      </c>
      <c r="AD90" s="3">
        <v>245460</v>
      </c>
      <c r="AE90" s="3">
        <v>28</v>
      </c>
      <c r="AF90" s="3">
        <v>143497</v>
      </c>
      <c r="AG90" s="9" t="s">
        <v>93</v>
      </c>
      <c r="AH90" s="9" t="s">
        <v>93</v>
      </c>
      <c r="AI90" s="9" t="s">
        <v>94</v>
      </c>
      <c r="AJ90" s="9" t="s">
        <v>93</v>
      </c>
      <c r="AK90" s="9" t="s">
        <v>93</v>
      </c>
      <c r="AL90" s="9" t="s">
        <v>93</v>
      </c>
      <c r="AM90" s="9" t="s">
        <v>93</v>
      </c>
      <c r="AN90" s="9" t="s">
        <v>94</v>
      </c>
      <c r="AO90" s="9" t="s">
        <v>93</v>
      </c>
      <c r="AP90" s="9" t="s">
        <v>93</v>
      </c>
      <c r="AQ90" s="9" t="s">
        <v>93</v>
      </c>
      <c r="AR90" s="9" t="s">
        <v>93</v>
      </c>
      <c r="AS90" s="9" t="s">
        <v>93</v>
      </c>
      <c r="AT90" s="9" t="s">
        <v>93</v>
      </c>
      <c r="AU90" s="9" t="s">
        <v>93</v>
      </c>
      <c r="AV90" s="9" t="s">
        <v>94</v>
      </c>
      <c r="AW90" s="9" t="s">
        <v>93</v>
      </c>
      <c r="AX90" s="9" t="s">
        <v>94</v>
      </c>
      <c r="AY90" s="9" t="s">
        <v>93</v>
      </c>
      <c r="AZ90" s="9" t="s">
        <v>93</v>
      </c>
      <c r="BA90" s="9" t="s">
        <v>93</v>
      </c>
      <c r="BB90" s="9" t="s">
        <v>93</v>
      </c>
      <c r="BC90" s="11">
        <v>2</v>
      </c>
      <c r="BD90" s="11">
        <v>5</v>
      </c>
      <c r="BE90" s="11">
        <v>3</v>
      </c>
      <c r="BF90" s="11">
        <v>2</v>
      </c>
      <c r="BG90" s="11">
        <v>3</v>
      </c>
      <c r="BH90" s="11">
        <v>3</v>
      </c>
      <c r="BI90" s="11">
        <v>5</v>
      </c>
      <c r="BJ90" s="11">
        <v>4</v>
      </c>
      <c r="BK90" s="11">
        <v>2</v>
      </c>
      <c r="BL90" s="11">
        <v>2</v>
      </c>
      <c r="BM90" s="11">
        <v>5</v>
      </c>
      <c r="BN90" s="11">
        <v>5</v>
      </c>
      <c r="BO90" s="11">
        <v>5</v>
      </c>
      <c r="BP90" s="11">
        <v>5</v>
      </c>
      <c r="BQ90" s="11">
        <v>2</v>
      </c>
      <c r="BR90" s="11">
        <v>5</v>
      </c>
      <c r="BS90" s="11">
        <v>4</v>
      </c>
      <c r="BT90" s="11">
        <v>5</v>
      </c>
      <c r="BU90" s="11">
        <v>5</v>
      </c>
      <c r="BV90" s="11">
        <v>3</v>
      </c>
      <c r="BW90" s="11">
        <v>5</v>
      </c>
      <c r="BX90" s="11">
        <v>2</v>
      </c>
      <c r="BY90" s="11">
        <v>5</v>
      </c>
      <c r="BZ90" s="11">
        <v>3</v>
      </c>
      <c r="CA90" s="11">
        <v>5</v>
      </c>
      <c r="CB90" s="11">
        <v>5</v>
      </c>
      <c r="CC90" s="11">
        <v>5</v>
      </c>
      <c r="CD90" s="11">
        <v>5</v>
      </c>
      <c r="CE90" s="9"/>
      <c r="CF90" s="3">
        <v>18</v>
      </c>
      <c r="CG90" s="3">
        <v>31</v>
      </c>
      <c r="CH90" s="3">
        <v>79</v>
      </c>
      <c r="CI90" s="6">
        <f>COUNTIF(AG90:BB90, "Dispone")/22</f>
        <v>0.81818181818181823</v>
      </c>
      <c r="CJ90" s="7">
        <f>AVERAGE(BC90:BL90)</f>
        <v>3.1</v>
      </c>
      <c r="CK90" s="15">
        <f>AVERAGE(BM90:CD90)</f>
        <v>4.3888888888888893</v>
      </c>
      <c r="CL90" s="9" t="str">
        <f>IF(AND(CI90&gt;50%, CJ90&gt;2.5, CK90&gt;2.5), "Compromiso", "")</f>
        <v>Compromiso</v>
      </c>
      <c r="CM90" s="9" t="str">
        <f>IF(AND(CI90&gt;75%, CJ90&gt;4, CK90&gt;4), "Liderazgo", "")</f>
        <v/>
      </c>
      <c r="CN90" s="9" t="str">
        <f>IF(AND(CI90&gt;90%, CJ90&gt;4.5, CK90&gt;4.5), "Transformación", "")</f>
        <v/>
      </c>
      <c r="CO90" s="9" t="s">
        <v>95</v>
      </c>
      <c r="CP90" s="3" t="s">
        <v>95</v>
      </c>
    </row>
    <row r="91" spans="1:94" ht="17.25" customHeight="1" x14ac:dyDescent="0.25">
      <c r="A91" s="16">
        <v>45958.621527777781</v>
      </c>
      <c r="B91" s="16">
        <v>45958.643055555556</v>
      </c>
      <c r="C91" s="3" t="s">
        <v>96</v>
      </c>
      <c r="D91" s="3" t="s">
        <v>297</v>
      </c>
      <c r="E91" s="3">
        <v>1891</v>
      </c>
      <c r="F91" s="3" t="b">
        <v>1</v>
      </c>
      <c r="G91" s="16">
        <v>45958.643055555556</v>
      </c>
      <c r="H91" s="3" t="s">
        <v>298</v>
      </c>
      <c r="I91" s="3">
        <v>6.2529000000000003</v>
      </c>
      <c r="J91" s="3">
        <v>-75.564599999999999</v>
      </c>
      <c r="K91" s="3" t="s">
        <v>98</v>
      </c>
      <c r="L91" s="3" t="s">
        <v>299</v>
      </c>
      <c r="M91" s="3" t="s">
        <v>300</v>
      </c>
      <c r="N91" s="3" t="s">
        <v>301</v>
      </c>
      <c r="O91" s="3" t="s">
        <v>959</v>
      </c>
      <c r="Q91" s="3" t="s">
        <v>206</v>
      </c>
      <c r="R91" s="3">
        <v>1905</v>
      </c>
      <c r="S91" s="3">
        <v>15988</v>
      </c>
      <c r="T91" s="3">
        <v>137918</v>
      </c>
      <c r="U91" s="3">
        <v>0</v>
      </c>
      <c r="V91" s="3">
        <v>0</v>
      </c>
      <c r="W91" s="3" t="s">
        <v>118</v>
      </c>
      <c r="X91" s="3">
        <v>13</v>
      </c>
      <c r="Y91" s="3" t="s">
        <v>92</v>
      </c>
      <c r="Z91" s="3">
        <v>334</v>
      </c>
      <c r="AA91" s="3">
        <v>10865392</v>
      </c>
      <c r="AB91" s="3">
        <v>8648</v>
      </c>
      <c r="AC91" s="3">
        <v>10</v>
      </c>
      <c r="AD91" s="3">
        <v>375992</v>
      </c>
      <c r="AE91" s="3">
        <v>271</v>
      </c>
      <c r="AF91" s="3">
        <v>7200</v>
      </c>
      <c r="AG91" s="3" t="s">
        <v>93</v>
      </c>
      <c r="AH91" s="3" t="s">
        <v>93</v>
      </c>
      <c r="AI91" s="3" t="s">
        <v>94</v>
      </c>
      <c r="AJ91" s="3" t="s">
        <v>93</v>
      </c>
      <c r="AK91" s="3" t="s">
        <v>93</v>
      </c>
      <c r="AL91" s="3" t="s">
        <v>93</v>
      </c>
      <c r="AM91" s="3" t="s">
        <v>93</v>
      </c>
      <c r="AN91" s="3" t="s">
        <v>93</v>
      </c>
      <c r="AO91" s="3" t="s">
        <v>93</v>
      </c>
      <c r="AP91" s="3" t="s">
        <v>93</v>
      </c>
      <c r="AQ91" s="3" t="s">
        <v>94</v>
      </c>
      <c r="AR91" s="3" t="s">
        <v>93</v>
      </c>
      <c r="AS91" s="3" t="s">
        <v>93</v>
      </c>
      <c r="AT91" s="3" t="s">
        <v>94</v>
      </c>
      <c r="AU91" s="3" t="s">
        <v>94</v>
      </c>
      <c r="AV91" s="3" t="s">
        <v>93</v>
      </c>
      <c r="AW91" s="3" t="s">
        <v>93</v>
      </c>
      <c r="AX91" s="3" t="s">
        <v>94</v>
      </c>
      <c r="AY91" s="3" t="s">
        <v>94</v>
      </c>
      <c r="AZ91" s="3" t="s">
        <v>93</v>
      </c>
      <c r="BA91" s="3" t="s">
        <v>93</v>
      </c>
      <c r="BB91" s="3" t="s">
        <v>93</v>
      </c>
      <c r="BC91" s="3">
        <v>3</v>
      </c>
      <c r="BD91" s="3">
        <v>3</v>
      </c>
      <c r="BE91" s="3">
        <v>3</v>
      </c>
      <c r="BF91" s="3">
        <v>3</v>
      </c>
      <c r="BG91" s="3">
        <v>2</v>
      </c>
      <c r="BH91" s="3">
        <v>4</v>
      </c>
      <c r="BI91" s="3">
        <v>2</v>
      </c>
      <c r="BJ91" s="3">
        <v>2</v>
      </c>
      <c r="BK91" s="3">
        <v>3</v>
      </c>
      <c r="BL91" s="3">
        <v>2</v>
      </c>
      <c r="BM91" s="3">
        <v>5</v>
      </c>
      <c r="BN91" s="3">
        <v>5</v>
      </c>
      <c r="BO91" s="3">
        <v>5</v>
      </c>
      <c r="BP91" s="3">
        <v>2</v>
      </c>
      <c r="BQ91" s="3">
        <v>2</v>
      </c>
      <c r="BR91" s="3">
        <v>3</v>
      </c>
      <c r="BS91" s="3">
        <v>2</v>
      </c>
      <c r="BT91" s="3">
        <v>4</v>
      </c>
      <c r="BU91" s="3">
        <v>5</v>
      </c>
      <c r="BV91" s="3">
        <v>3</v>
      </c>
      <c r="BW91" s="3">
        <v>3</v>
      </c>
      <c r="BX91" s="3">
        <v>2</v>
      </c>
      <c r="BY91" s="3">
        <v>3</v>
      </c>
      <c r="BZ91" s="3">
        <v>5</v>
      </c>
      <c r="CA91" s="3">
        <v>5</v>
      </c>
      <c r="CB91" s="3">
        <v>5</v>
      </c>
      <c r="CC91" s="3">
        <v>5</v>
      </c>
      <c r="CD91" s="3">
        <v>5</v>
      </c>
      <c r="CF91" s="3">
        <v>16</v>
      </c>
      <c r="CG91" s="3">
        <v>27</v>
      </c>
      <c r="CH91" s="3">
        <v>69</v>
      </c>
      <c r="CI91" s="6">
        <f>COUNTIF(AG91:BB91, "Dispone")/22</f>
        <v>0.72727272727272729</v>
      </c>
      <c r="CJ91" s="7">
        <f>AVERAGE(BC91:BL91)</f>
        <v>2.7</v>
      </c>
      <c r="CK91" s="15">
        <f>AVERAGE(BM91:CD91)</f>
        <v>3.8333333333333335</v>
      </c>
      <c r="CL91" s="9" t="str">
        <f>IF(AND(CI91&gt;50%, CJ91&gt;2.5, CK91&gt;2.5), "Compromiso", "")</f>
        <v>Compromiso</v>
      </c>
      <c r="CM91" s="9" t="str">
        <f>IF(AND(CI91&gt;75%, CJ91&gt;4, CK91&gt;4), "Liderazgo", "")</f>
        <v/>
      </c>
      <c r="CN91" s="9" t="str">
        <f>IF(AND(CI91&gt;90%, CJ91&gt;4.5, CK91&gt;4.5), "Transformación", "")</f>
        <v/>
      </c>
      <c r="CO91" s="9" t="s">
        <v>95</v>
      </c>
      <c r="CP91" s="3" t="s">
        <v>146</v>
      </c>
    </row>
    <row r="92" spans="1:94" ht="17.25" customHeight="1" x14ac:dyDescent="0.25">
      <c r="A92" s="16">
        <v>45961.953472222223</v>
      </c>
      <c r="B92" s="16">
        <v>45961.974999999999</v>
      </c>
      <c r="C92" s="3" t="s">
        <v>96</v>
      </c>
      <c r="D92" s="3" t="s">
        <v>779</v>
      </c>
      <c r="E92" s="3">
        <v>1884</v>
      </c>
      <c r="F92" s="3" t="b">
        <v>1</v>
      </c>
      <c r="G92" s="16">
        <v>45961.974999999999</v>
      </c>
      <c r="H92" s="3" t="s">
        <v>780</v>
      </c>
      <c r="I92" s="3">
        <v>-12.045999999999999</v>
      </c>
      <c r="J92" s="3">
        <v>-77.030500000000004</v>
      </c>
      <c r="K92" s="3" t="s">
        <v>98</v>
      </c>
      <c r="L92" s="3" t="s">
        <v>781</v>
      </c>
      <c r="M92" s="3" t="s">
        <v>107</v>
      </c>
      <c r="O92" s="3" t="s">
        <v>960</v>
      </c>
      <c r="Q92" s="3" t="s">
        <v>130</v>
      </c>
      <c r="AG92" s="3" t="s">
        <v>93</v>
      </c>
      <c r="AH92" s="3" t="s">
        <v>93</v>
      </c>
      <c r="AI92" s="5"/>
      <c r="AJ92" s="3" t="s">
        <v>93</v>
      </c>
      <c r="AK92" s="3" t="s">
        <v>93</v>
      </c>
      <c r="AL92" s="3" t="s">
        <v>93</v>
      </c>
      <c r="AM92" s="3" t="s">
        <v>94</v>
      </c>
      <c r="AN92" s="3" t="s">
        <v>93</v>
      </c>
      <c r="AO92" s="3" t="s">
        <v>94</v>
      </c>
      <c r="AP92" s="3" t="s">
        <v>94</v>
      </c>
      <c r="AQ92" s="3" t="s">
        <v>94</v>
      </c>
      <c r="AR92" s="3" t="s">
        <v>93</v>
      </c>
      <c r="AS92" s="3" t="s">
        <v>94</v>
      </c>
      <c r="AT92" s="3" t="s">
        <v>94</v>
      </c>
      <c r="AU92" s="3" t="s">
        <v>93</v>
      </c>
      <c r="AV92" s="3" t="s">
        <v>93</v>
      </c>
      <c r="AW92" s="3" t="s">
        <v>94</v>
      </c>
      <c r="AX92" s="3" t="s">
        <v>94</v>
      </c>
      <c r="AY92" s="3" t="s">
        <v>94</v>
      </c>
      <c r="AZ92" s="3" t="s">
        <v>93</v>
      </c>
      <c r="BA92" s="3" t="s">
        <v>93</v>
      </c>
      <c r="BB92" s="3" t="s">
        <v>94</v>
      </c>
      <c r="BC92" s="3">
        <v>4</v>
      </c>
      <c r="BD92" s="3">
        <v>5</v>
      </c>
      <c r="BE92" s="3">
        <v>2</v>
      </c>
      <c r="BF92" s="3">
        <v>3</v>
      </c>
      <c r="BG92" s="3">
        <v>3</v>
      </c>
      <c r="BH92" s="3">
        <v>4</v>
      </c>
      <c r="BI92" s="3">
        <v>1</v>
      </c>
      <c r="BJ92" s="3">
        <v>4</v>
      </c>
      <c r="BK92" s="3">
        <v>4</v>
      </c>
      <c r="BL92" s="3">
        <v>3</v>
      </c>
      <c r="BM92" s="3">
        <v>3</v>
      </c>
      <c r="BN92" s="3">
        <v>3</v>
      </c>
      <c r="BO92" s="3">
        <v>3</v>
      </c>
      <c r="BP92" s="3">
        <v>3</v>
      </c>
      <c r="BQ92" s="3">
        <v>1</v>
      </c>
      <c r="BR92" s="3">
        <v>1</v>
      </c>
      <c r="BS92" s="3">
        <v>4</v>
      </c>
      <c r="BT92" s="3">
        <v>1</v>
      </c>
      <c r="BU92" s="3">
        <v>3</v>
      </c>
      <c r="BV92" s="3">
        <v>1</v>
      </c>
      <c r="BW92" s="3">
        <v>1</v>
      </c>
      <c r="BX92" s="3">
        <v>4</v>
      </c>
      <c r="BY92" s="3">
        <v>4</v>
      </c>
      <c r="BZ92" s="3">
        <v>4</v>
      </c>
      <c r="CA92" s="3">
        <v>4</v>
      </c>
      <c r="CB92" s="3">
        <v>4</v>
      </c>
      <c r="CC92" s="3">
        <v>3</v>
      </c>
      <c r="CD92" s="3">
        <v>4</v>
      </c>
      <c r="CF92" s="3">
        <f>COUNTIF(AG92:BB92, "Dispone")</f>
        <v>11</v>
      </c>
      <c r="CG92" s="3">
        <v>33</v>
      </c>
      <c r="CH92" s="3">
        <f>SUM(BM92:CD92)</f>
        <v>51</v>
      </c>
      <c r="CI92" s="6">
        <f>COUNTIF(AG92:BB92, "Dispone")/22</f>
        <v>0.5</v>
      </c>
      <c r="CJ92" s="7">
        <f>AVERAGE(BC92:BL92)</f>
        <v>3.3</v>
      </c>
      <c r="CK92" s="8">
        <f>AVERAGE(BM92:CD92)</f>
        <v>2.8333333333333335</v>
      </c>
      <c r="CL92" s="9" t="str">
        <f>IF(AND(CI92&gt;50%, CJ92&gt;2.5, CK92&gt;2.5), "Compromiso", "")</f>
        <v/>
      </c>
      <c r="CM92" s="9" t="str">
        <f>IF(AND(CI92&gt;75%, CJ92&gt;4, CK92&gt;4), "Liderazgo", "")</f>
        <v/>
      </c>
      <c r="CN92" s="9" t="str">
        <f>IF(AND(CI92&gt;90%, CJ92&gt;4.5, CK92&gt;4.5), "Transformación", "")</f>
        <v/>
      </c>
      <c r="CO92" s="9" t="s">
        <v>581</v>
      </c>
      <c r="CP92" s="3" t="s">
        <v>132</v>
      </c>
    </row>
    <row r="93" spans="1:94" ht="17.25" customHeight="1" x14ac:dyDescent="0.25">
      <c r="A93" s="12">
        <v>45922.796712962961</v>
      </c>
      <c r="B93" s="12">
        <v>45922.817685185182</v>
      </c>
      <c r="C93" s="9" t="s">
        <v>96</v>
      </c>
      <c r="D93" s="9" t="s">
        <v>186</v>
      </c>
      <c r="E93" s="13">
        <v>1812</v>
      </c>
      <c r="F93" s="9" t="s">
        <v>105</v>
      </c>
      <c r="G93" s="12">
        <v>45922.817701041669</v>
      </c>
      <c r="H93" s="9" t="s">
        <v>187</v>
      </c>
      <c r="I93" s="13">
        <v>-22.920100000000001</v>
      </c>
      <c r="J93" s="13">
        <v>-43.081099999999999</v>
      </c>
      <c r="K93" s="9" t="s">
        <v>98</v>
      </c>
      <c r="L93" s="9" t="s">
        <v>188</v>
      </c>
      <c r="M93" s="3" t="s">
        <v>189</v>
      </c>
      <c r="N93" s="9" t="s">
        <v>190</v>
      </c>
      <c r="O93" s="3" t="s">
        <v>961</v>
      </c>
      <c r="P93" s="9" t="s">
        <v>191</v>
      </c>
      <c r="Q93" s="9" t="s">
        <v>144</v>
      </c>
      <c r="R93" s="3">
        <v>1937</v>
      </c>
      <c r="S93" s="3">
        <v>9.3949999999999996</v>
      </c>
      <c r="T93" s="3">
        <v>118.245</v>
      </c>
      <c r="U93" s="3">
        <v>3.6459999999999999</v>
      </c>
      <c r="V93" s="3">
        <v>2.4209999999999998</v>
      </c>
      <c r="W93" s="9" t="s">
        <v>118</v>
      </c>
      <c r="X93" s="3">
        <v>0.5</v>
      </c>
      <c r="Y93" s="9" t="s">
        <v>92</v>
      </c>
      <c r="Z93" s="3">
        <v>440</v>
      </c>
      <c r="AA93" s="3">
        <v>0</v>
      </c>
      <c r="AB93" s="3">
        <v>0</v>
      </c>
      <c r="AC93" s="3">
        <v>0</v>
      </c>
      <c r="AD93" s="3">
        <v>0</v>
      </c>
      <c r="AE93" s="3">
        <v>0</v>
      </c>
      <c r="AF93" s="3">
        <v>0</v>
      </c>
      <c r="AG93" s="9" t="s">
        <v>93</v>
      </c>
      <c r="AH93" s="9" t="s">
        <v>93</v>
      </c>
      <c r="AI93" s="9" t="s">
        <v>93</v>
      </c>
      <c r="AJ93" s="9" t="s">
        <v>93</v>
      </c>
      <c r="AK93" s="9" t="s">
        <v>93</v>
      </c>
      <c r="AL93" s="9" t="s">
        <v>93</v>
      </c>
      <c r="AM93" s="9" t="s">
        <v>93</v>
      </c>
      <c r="AN93" s="9" t="s">
        <v>93</v>
      </c>
      <c r="AO93" s="9" t="s">
        <v>93</v>
      </c>
      <c r="AP93" s="9" t="s">
        <v>93</v>
      </c>
      <c r="AQ93" s="9" t="s">
        <v>93</v>
      </c>
      <c r="AR93" s="9" t="s">
        <v>93</v>
      </c>
      <c r="AS93" s="9" t="s">
        <v>93</v>
      </c>
      <c r="AT93" s="9" t="s">
        <v>93</v>
      </c>
      <c r="AU93" s="9" t="s">
        <v>93</v>
      </c>
      <c r="AV93" s="9" t="s">
        <v>93</v>
      </c>
      <c r="AW93" s="9" t="s">
        <v>93</v>
      </c>
      <c r="AX93" s="9" t="s">
        <v>93</v>
      </c>
      <c r="AY93" s="9" t="s">
        <v>94</v>
      </c>
      <c r="AZ93" s="9" t="s">
        <v>93</v>
      </c>
      <c r="BA93" s="9" t="s">
        <v>93</v>
      </c>
      <c r="BB93" s="9" t="s">
        <v>93</v>
      </c>
      <c r="BC93" s="11">
        <v>3</v>
      </c>
      <c r="BD93" s="11">
        <v>3</v>
      </c>
      <c r="BE93" s="11">
        <v>1</v>
      </c>
      <c r="BF93" s="11">
        <v>2</v>
      </c>
      <c r="BG93" s="11">
        <v>2</v>
      </c>
      <c r="BH93" s="11">
        <v>2</v>
      </c>
      <c r="BI93" s="11">
        <v>4</v>
      </c>
      <c r="BJ93" s="11">
        <v>4</v>
      </c>
      <c r="BK93" s="11">
        <v>2</v>
      </c>
      <c r="BL93" s="11">
        <v>3</v>
      </c>
      <c r="BM93" s="11">
        <v>5</v>
      </c>
      <c r="BN93" s="11">
        <v>5</v>
      </c>
      <c r="BO93" s="11">
        <v>4</v>
      </c>
      <c r="BP93" s="11">
        <v>3</v>
      </c>
      <c r="BQ93" s="11">
        <v>3</v>
      </c>
      <c r="BR93" s="11">
        <v>4</v>
      </c>
      <c r="BS93" s="11">
        <v>4</v>
      </c>
      <c r="BT93" s="11">
        <v>4</v>
      </c>
      <c r="BU93" s="11">
        <v>5</v>
      </c>
      <c r="BV93" s="11">
        <v>4</v>
      </c>
      <c r="BW93" s="11">
        <v>2</v>
      </c>
      <c r="BX93" s="11">
        <v>4</v>
      </c>
      <c r="BY93" s="11">
        <v>5</v>
      </c>
      <c r="BZ93" s="11">
        <v>5</v>
      </c>
      <c r="CA93" s="11">
        <v>5</v>
      </c>
      <c r="CB93" s="11">
        <v>5</v>
      </c>
      <c r="CC93" s="11">
        <v>5</v>
      </c>
      <c r="CD93" s="11">
        <v>4</v>
      </c>
      <c r="CE93" s="9"/>
      <c r="CF93" s="3">
        <v>21</v>
      </c>
      <c r="CG93" s="3">
        <v>26</v>
      </c>
      <c r="CH93" s="3">
        <v>76</v>
      </c>
      <c r="CI93" s="6">
        <f>COUNTIF(AG93:BB93, "Dispone")/22</f>
        <v>0.95454545454545459</v>
      </c>
      <c r="CJ93" s="7">
        <f>AVERAGE(BC93:BL93)</f>
        <v>2.6</v>
      </c>
      <c r="CK93" s="15">
        <f>AVERAGE(BM93:CD93)</f>
        <v>4.2222222222222223</v>
      </c>
      <c r="CL93" s="9" t="str">
        <f>IF(AND(CI93&gt;50%, CJ93&gt;2.5, CK93&gt;2.5), "Compromiso", "")</f>
        <v>Compromiso</v>
      </c>
      <c r="CM93" s="9" t="str">
        <f>IF(AND(CI93&gt;75%, CJ93&gt;4, CK93&gt;4), "Liderazgo", "")</f>
        <v/>
      </c>
      <c r="CN93" s="9" t="str">
        <f>IF(AND(CI93&gt;90%, CJ93&gt;4.5, CK93&gt;4.5), "Transformación", "")</f>
        <v/>
      </c>
      <c r="CO93" s="9" t="s">
        <v>95</v>
      </c>
      <c r="CP93" s="3" t="s">
        <v>146</v>
      </c>
    </row>
    <row r="94" spans="1:94" ht="17.25" customHeight="1" x14ac:dyDescent="0.25">
      <c r="A94" s="16">
        <v>45976.864583333336</v>
      </c>
      <c r="B94" s="16">
        <v>45976.884722222225</v>
      </c>
      <c r="C94" s="3" t="s">
        <v>96</v>
      </c>
      <c r="D94" s="3" t="s">
        <v>697</v>
      </c>
      <c r="E94" s="3">
        <v>1711</v>
      </c>
      <c r="F94" s="3" t="b">
        <v>1</v>
      </c>
      <c r="G94" s="16">
        <v>45976.884722222225</v>
      </c>
      <c r="H94" s="3" t="s">
        <v>698</v>
      </c>
      <c r="I94" s="3">
        <v>40.444099999999999</v>
      </c>
      <c r="J94" s="3">
        <v>-3.8136999999999999</v>
      </c>
      <c r="K94" s="3" t="s">
        <v>98</v>
      </c>
      <c r="L94" s="3" t="s">
        <v>699</v>
      </c>
      <c r="M94" s="3" t="s">
        <v>700</v>
      </c>
      <c r="N94" s="3" t="s">
        <v>701</v>
      </c>
      <c r="O94" s="3" t="s">
        <v>962</v>
      </c>
      <c r="P94" s="3">
        <v>4444211154</v>
      </c>
      <c r="Q94" s="3" t="s">
        <v>144</v>
      </c>
      <c r="R94" s="3">
        <v>1993</v>
      </c>
      <c r="S94" s="3">
        <v>200</v>
      </c>
      <c r="T94" s="3">
        <v>524</v>
      </c>
      <c r="U94" s="3">
        <v>0</v>
      </c>
      <c r="V94" s="3">
        <v>75</v>
      </c>
      <c r="W94" s="3" t="s">
        <v>91</v>
      </c>
      <c r="X94" s="3">
        <v>1</v>
      </c>
      <c r="Y94" s="3" t="s">
        <v>92</v>
      </c>
      <c r="Z94" s="3">
        <v>1</v>
      </c>
      <c r="AA94" s="3">
        <v>77600</v>
      </c>
      <c r="AB94" s="3">
        <v>35</v>
      </c>
      <c r="AC94" s="3">
        <v>5</v>
      </c>
      <c r="AD94" s="3">
        <v>1350</v>
      </c>
      <c r="AE94" s="3">
        <v>11</v>
      </c>
      <c r="AF94" s="3">
        <v>2500</v>
      </c>
      <c r="AG94" s="3" t="s">
        <v>93</v>
      </c>
      <c r="AH94" s="3" t="s">
        <v>93</v>
      </c>
      <c r="AI94" s="3" t="s">
        <v>94</v>
      </c>
      <c r="AJ94" s="3" t="s">
        <v>93</v>
      </c>
      <c r="AK94" s="3" t="s">
        <v>93</v>
      </c>
      <c r="AL94" s="3" t="s">
        <v>93</v>
      </c>
      <c r="AM94" s="3" t="s">
        <v>93</v>
      </c>
      <c r="AN94" s="3" t="s">
        <v>94</v>
      </c>
      <c r="AO94" s="3" t="s">
        <v>94</v>
      </c>
      <c r="AP94" s="3" t="s">
        <v>93</v>
      </c>
      <c r="AQ94" s="3" t="s">
        <v>94</v>
      </c>
      <c r="AR94" s="3" t="s">
        <v>93</v>
      </c>
      <c r="AS94" s="3" t="s">
        <v>93</v>
      </c>
      <c r="AT94" s="3" t="s">
        <v>93</v>
      </c>
      <c r="AU94" s="3" t="s">
        <v>93</v>
      </c>
      <c r="AV94" s="3" t="s">
        <v>93</v>
      </c>
      <c r="AW94" s="3" t="s">
        <v>94</v>
      </c>
      <c r="AX94" s="3" t="s">
        <v>94</v>
      </c>
      <c r="AY94" s="3" t="s">
        <v>94</v>
      </c>
      <c r="AZ94" s="3" t="s">
        <v>93</v>
      </c>
      <c r="BA94" s="3" t="s">
        <v>93</v>
      </c>
      <c r="BB94" s="3" t="s">
        <v>94</v>
      </c>
      <c r="BC94" s="3">
        <v>2</v>
      </c>
      <c r="BD94" s="3">
        <v>2</v>
      </c>
      <c r="BE94" s="3">
        <v>2</v>
      </c>
      <c r="BF94" s="3">
        <v>2</v>
      </c>
      <c r="BG94" s="3">
        <v>3</v>
      </c>
      <c r="BH94" s="3">
        <v>4</v>
      </c>
      <c r="BI94" s="3">
        <v>2</v>
      </c>
      <c r="BJ94" s="3">
        <v>2</v>
      </c>
      <c r="BK94" s="3">
        <v>2</v>
      </c>
      <c r="BL94" s="3">
        <v>1</v>
      </c>
      <c r="BM94" s="3">
        <v>4</v>
      </c>
      <c r="BN94" s="3">
        <v>3</v>
      </c>
      <c r="BO94" s="3">
        <v>3</v>
      </c>
      <c r="BP94" s="3">
        <v>3</v>
      </c>
      <c r="BQ94" s="3">
        <v>3</v>
      </c>
      <c r="BR94" s="3">
        <v>4</v>
      </c>
      <c r="BS94" s="3">
        <v>3</v>
      </c>
      <c r="BT94" s="3">
        <v>3</v>
      </c>
      <c r="BU94" s="3">
        <v>3</v>
      </c>
      <c r="BV94" s="3">
        <v>4</v>
      </c>
      <c r="BW94" s="3">
        <v>2</v>
      </c>
      <c r="BX94" s="3">
        <v>5</v>
      </c>
      <c r="BY94" s="3">
        <v>5</v>
      </c>
      <c r="BZ94" s="3">
        <v>4</v>
      </c>
      <c r="CA94" s="3">
        <v>5</v>
      </c>
      <c r="CB94" s="3">
        <v>5</v>
      </c>
      <c r="CC94" s="3">
        <v>3</v>
      </c>
      <c r="CD94" s="3">
        <v>4</v>
      </c>
      <c r="CE94" s="3" t="s">
        <v>702</v>
      </c>
      <c r="CF94" s="3">
        <v>14</v>
      </c>
      <c r="CG94" s="3">
        <v>22</v>
      </c>
      <c r="CH94" s="3">
        <v>66</v>
      </c>
      <c r="CI94" s="6">
        <f>COUNTIF(AG94:BB94, "Dispone")/22</f>
        <v>0.63636363636363635</v>
      </c>
      <c r="CJ94" s="7">
        <f>AVERAGE(BC94:BL94)</f>
        <v>2.2000000000000002</v>
      </c>
      <c r="CK94" s="15">
        <f>AVERAGE(BM94:CD94)</f>
        <v>3.6666666666666665</v>
      </c>
      <c r="CL94" s="9" t="str">
        <f>IF(AND(CI94&gt;50%, CJ94&gt;2.5, CK94&gt;2.5), "Compromiso", "")</f>
        <v/>
      </c>
      <c r="CM94" s="9" t="str">
        <f>IF(AND(CI94&gt;75%, CJ94&gt;4, CK94&gt;4), "Liderazgo", "")</f>
        <v/>
      </c>
      <c r="CN94" s="9" t="str">
        <f>IF(AND(CI94&gt;90%, CJ94&gt;4.5, CK94&gt;4.5), "Transformación", "")</f>
        <v/>
      </c>
      <c r="CO94" s="9" t="s">
        <v>581</v>
      </c>
      <c r="CP94" s="3" t="s">
        <v>146</v>
      </c>
    </row>
    <row r="95" spans="1:94" ht="17.25" customHeight="1" x14ac:dyDescent="0.25">
      <c r="A95" s="16">
        <v>45989.894444444442</v>
      </c>
      <c r="B95" s="16">
        <v>45989.913888888892</v>
      </c>
      <c r="C95" s="3" t="s">
        <v>96</v>
      </c>
      <c r="D95" s="3" t="s">
        <v>608</v>
      </c>
      <c r="E95" s="3">
        <v>1649</v>
      </c>
      <c r="F95" s="3" t="b">
        <v>1</v>
      </c>
      <c r="G95" s="16">
        <v>45989.913888888892</v>
      </c>
      <c r="H95" s="3" t="s">
        <v>609</v>
      </c>
      <c r="I95" s="3">
        <v>19.047799999999999</v>
      </c>
      <c r="J95" s="3">
        <v>-98.188900000000004</v>
      </c>
      <c r="K95" s="3" t="s">
        <v>113</v>
      </c>
      <c r="L95" s="3" t="s">
        <v>610</v>
      </c>
      <c r="M95" s="3" t="s">
        <v>886</v>
      </c>
      <c r="N95" s="3" t="s">
        <v>611</v>
      </c>
      <c r="O95" s="3" t="s">
        <v>963</v>
      </c>
      <c r="P95" s="3" t="s">
        <v>612</v>
      </c>
      <c r="Q95" s="3" t="s">
        <v>90</v>
      </c>
      <c r="R95" s="3">
        <v>1969</v>
      </c>
      <c r="S95" s="3">
        <v>5.4489999999999998</v>
      </c>
      <c r="T95" s="3">
        <v>25079</v>
      </c>
      <c r="U95" s="3">
        <v>563</v>
      </c>
      <c r="V95" s="3">
        <v>0</v>
      </c>
      <c r="W95" s="3" t="s">
        <v>118</v>
      </c>
      <c r="X95" s="3">
        <v>0.91</v>
      </c>
      <c r="Y95" s="3" t="s">
        <v>92</v>
      </c>
      <c r="Z95" s="3">
        <v>167</v>
      </c>
      <c r="AA95" s="3">
        <v>10499177</v>
      </c>
      <c r="AB95" s="3">
        <v>0</v>
      </c>
      <c r="AC95" s="3">
        <v>95</v>
      </c>
      <c r="AD95" s="3">
        <v>227842</v>
      </c>
      <c r="AE95" s="3">
        <v>0</v>
      </c>
      <c r="AF95" s="3">
        <v>121989</v>
      </c>
      <c r="AG95" s="3" t="s">
        <v>93</v>
      </c>
      <c r="AH95" s="3" t="s">
        <v>93</v>
      </c>
      <c r="AI95" s="3" t="s">
        <v>94</v>
      </c>
      <c r="AJ95" s="3" t="s">
        <v>93</v>
      </c>
      <c r="AK95" s="3" t="s">
        <v>93</v>
      </c>
      <c r="AL95" s="3" t="s">
        <v>93</v>
      </c>
      <c r="AM95" s="3" t="s">
        <v>93</v>
      </c>
      <c r="AN95" s="3" t="s">
        <v>93</v>
      </c>
      <c r="AO95" s="3" t="s">
        <v>93</v>
      </c>
      <c r="AP95" s="3" t="s">
        <v>94</v>
      </c>
      <c r="AQ95" s="3" t="s">
        <v>93</v>
      </c>
      <c r="AR95" s="3" t="s">
        <v>93</v>
      </c>
      <c r="AS95" s="3" t="s">
        <v>93</v>
      </c>
      <c r="AT95" s="3" t="s">
        <v>93</v>
      </c>
      <c r="AU95" s="3" t="s">
        <v>93</v>
      </c>
      <c r="AV95" s="3" t="s">
        <v>93</v>
      </c>
      <c r="AW95" s="3" t="s">
        <v>93</v>
      </c>
      <c r="AX95" s="3" t="s">
        <v>94</v>
      </c>
      <c r="AY95" s="3" t="s">
        <v>93</v>
      </c>
      <c r="AZ95" s="3" t="s">
        <v>93</v>
      </c>
      <c r="BA95" s="3" t="s">
        <v>93</v>
      </c>
      <c r="BB95" s="3" t="s">
        <v>93</v>
      </c>
      <c r="BC95" s="3">
        <v>3</v>
      </c>
      <c r="BD95" s="3">
        <v>3</v>
      </c>
      <c r="BE95" s="3">
        <v>1</v>
      </c>
      <c r="BF95" s="3">
        <v>4</v>
      </c>
      <c r="BG95" s="3">
        <v>3</v>
      </c>
      <c r="BH95" s="3">
        <v>3</v>
      </c>
      <c r="BI95" s="3">
        <v>2</v>
      </c>
      <c r="BJ95" s="3">
        <v>3</v>
      </c>
      <c r="BK95" s="3">
        <v>1</v>
      </c>
      <c r="BL95" s="3">
        <v>3</v>
      </c>
      <c r="BM95" s="3">
        <v>5</v>
      </c>
      <c r="BN95" s="3">
        <v>2</v>
      </c>
      <c r="BO95" s="3">
        <v>2</v>
      </c>
      <c r="BP95" s="3">
        <v>2</v>
      </c>
      <c r="BQ95" s="3">
        <v>2</v>
      </c>
      <c r="BR95" s="3">
        <v>2</v>
      </c>
      <c r="BS95" s="3">
        <v>2</v>
      </c>
      <c r="BT95" s="3">
        <v>2</v>
      </c>
      <c r="BU95" s="3">
        <v>2</v>
      </c>
      <c r="BV95" s="3">
        <v>1</v>
      </c>
      <c r="BW95" s="3">
        <v>2</v>
      </c>
      <c r="BX95" s="3">
        <v>4</v>
      </c>
      <c r="BY95" s="3">
        <v>2</v>
      </c>
      <c r="BZ95" s="3">
        <v>2</v>
      </c>
      <c r="CA95" s="3">
        <v>3</v>
      </c>
      <c r="CB95" s="3">
        <v>3</v>
      </c>
      <c r="CC95" s="3">
        <v>2</v>
      </c>
      <c r="CD95" s="3">
        <v>2</v>
      </c>
      <c r="CF95" s="3">
        <v>19</v>
      </c>
      <c r="CG95" s="3">
        <v>26</v>
      </c>
      <c r="CH95" s="3">
        <v>42</v>
      </c>
      <c r="CI95" s="6">
        <f>COUNTIF(AG95:BB95, "Dispone")/22</f>
        <v>0.86363636363636365</v>
      </c>
      <c r="CJ95" s="7">
        <f>AVERAGE(BC95:BL95)</f>
        <v>2.6</v>
      </c>
      <c r="CK95" s="15">
        <f>AVERAGE(BM95:CD95)</f>
        <v>2.3333333333333335</v>
      </c>
      <c r="CL95" s="9" t="str">
        <f>IF(AND(CI95&gt;50%, CJ95&gt;2.5, CK95&gt;2.5), "Compromiso", "")</f>
        <v/>
      </c>
      <c r="CM95" s="9" t="str">
        <f>IF(AND(CI95&gt;75%, CJ95&gt;4, CK95&gt;4), "Liderazgo", "")</f>
        <v/>
      </c>
      <c r="CN95" s="9" t="str">
        <f>IF(AND(CI95&gt;90%, CJ95&gt;4.5, CK95&gt;4.5), "Transformación", "")</f>
        <v/>
      </c>
      <c r="CO95" s="9" t="s">
        <v>581</v>
      </c>
      <c r="CP95" s="3" t="s">
        <v>95</v>
      </c>
    </row>
    <row r="96" spans="1:94" ht="17.25" customHeight="1" x14ac:dyDescent="0.25">
      <c r="A96" s="12">
        <v>45869.409837962965</v>
      </c>
      <c r="B96" s="12">
        <v>45869.428749999999</v>
      </c>
      <c r="C96" s="9" t="s">
        <v>96</v>
      </c>
      <c r="D96" s="9" t="s">
        <v>104</v>
      </c>
      <c r="E96" s="13">
        <v>1633</v>
      </c>
      <c r="F96" s="9" t="s">
        <v>105</v>
      </c>
      <c r="G96" s="12">
        <v>45869.428761909723</v>
      </c>
      <c r="H96" s="9" t="s">
        <v>106</v>
      </c>
      <c r="I96" s="13">
        <v>40.960999999999999</v>
      </c>
      <c r="J96" s="13">
        <v>-5.6566000000000001</v>
      </c>
      <c r="K96" s="9" t="s">
        <v>98</v>
      </c>
      <c r="L96" s="9" t="s">
        <v>108</v>
      </c>
      <c r="M96" s="3" t="s">
        <v>109</v>
      </c>
      <c r="N96" s="9" t="s">
        <v>110</v>
      </c>
      <c r="O96" s="3" t="s">
        <v>964</v>
      </c>
      <c r="P96" s="14" t="s">
        <v>1019</v>
      </c>
      <c r="Q96" s="9" t="s">
        <v>102</v>
      </c>
      <c r="R96" s="3">
        <v>1979</v>
      </c>
      <c r="S96" s="3">
        <v>2518</v>
      </c>
      <c r="T96" s="3">
        <v>11852</v>
      </c>
      <c r="U96" s="3">
        <v>454</v>
      </c>
      <c r="V96" s="3">
        <v>137</v>
      </c>
      <c r="W96" s="9" t="s">
        <v>91</v>
      </c>
      <c r="X96" s="3">
        <v>212</v>
      </c>
      <c r="Y96" s="9" t="s">
        <v>92</v>
      </c>
      <c r="Z96" s="3">
        <v>29</v>
      </c>
      <c r="AA96" s="3">
        <v>4216387</v>
      </c>
      <c r="AB96" s="3">
        <v>2013</v>
      </c>
      <c r="AC96" s="3">
        <v>80</v>
      </c>
      <c r="AD96" s="3">
        <v>50713</v>
      </c>
      <c r="AE96" s="3">
        <v>1</v>
      </c>
      <c r="AF96" s="3">
        <v>46980000</v>
      </c>
      <c r="AG96" s="9" t="s">
        <v>93</v>
      </c>
      <c r="AH96" s="9" t="s">
        <v>93</v>
      </c>
      <c r="AI96" s="9" t="s">
        <v>94</v>
      </c>
      <c r="AJ96" s="9" t="s">
        <v>93</v>
      </c>
      <c r="AK96" s="9" t="s">
        <v>93</v>
      </c>
      <c r="AL96" s="9" t="s">
        <v>93</v>
      </c>
      <c r="AM96" s="9" t="s">
        <v>93</v>
      </c>
      <c r="AN96" s="9" t="s">
        <v>93</v>
      </c>
      <c r="AO96" s="9" t="s">
        <v>93</v>
      </c>
      <c r="AP96" s="9" t="s">
        <v>93</v>
      </c>
      <c r="AQ96" s="9" t="s">
        <v>93</v>
      </c>
      <c r="AR96" s="9" t="s">
        <v>93</v>
      </c>
      <c r="AS96" s="9" t="s">
        <v>93</v>
      </c>
      <c r="AT96" s="9" t="s">
        <v>93</v>
      </c>
      <c r="AU96" s="9" t="s">
        <v>94</v>
      </c>
      <c r="AV96" s="9" t="s">
        <v>93</v>
      </c>
      <c r="AW96" s="9" t="s">
        <v>93</v>
      </c>
      <c r="AX96" s="9" t="s">
        <v>94</v>
      </c>
      <c r="AY96" s="9" t="s">
        <v>94</v>
      </c>
      <c r="AZ96" s="9" t="s">
        <v>93</v>
      </c>
      <c r="BA96" s="9" t="s">
        <v>93</v>
      </c>
      <c r="BB96" s="9" t="s">
        <v>93</v>
      </c>
      <c r="BC96" s="11">
        <v>3</v>
      </c>
      <c r="BD96" s="11">
        <v>4</v>
      </c>
      <c r="BE96" s="11">
        <v>4</v>
      </c>
      <c r="BF96" s="11">
        <v>5</v>
      </c>
      <c r="BG96" s="11">
        <v>4</v>
      </c>
      <c r="BH96" s="11">
        <v>5</v>
      </c>
      <c r="BI96" s="11">
        <v>3</v>
      </c>
      <c r="BJ96" s="11">
        <v>3</v>
      </c>
      <c r="BK96" s="11">
        <v>4</v>
      </c>
      <c r="BL96" s="11">
        <v>4</v>
      </c>
      <c r="BM96" s="11">
        <v>5</v>
      </c>
      <c r="BN96" s="11">
        <v>5</v>
      </c>
      <c r="BO96" s="11">
        <v>3</v>
      </c>
      <c r="BP96" s="11">
        <v>3</v>
      </c>
      <c r="BQ96" s="11">
        <v>4</v>
      </c>
      <c r="BR96" s="11">
        <v>5</v>
      </c>
      <c r="BS96" s="11">
        <v>3</v>
      </c>
      <c r="BT96" s="11">
        <v>4</v>
      </c>
      <c r="BU96" s="11">
        <v>5</v>
      </c>
      <c r="BV96" s="11">
        <v>2</v>
      </c>
      <c r="BW96" s="11">
        <v>3</v>
      </c>
      <c r="BX96" s="11">
        <v>5</v>
      </c>
      <c r="BY96" s="11">
        <v>5</v>
      </c>
      <c r="BZ96" s="11">
        <v>5</v>
      </c>
      <c r="CA96" s="11">
        <v>5</v>
      </c>
      <c r="CB96" s="11">
        <v>4</v>
      </c>
      <c r="CC96" s="11">
        <v>5</v>
      </c>
      <c r="CD96" s="11">
        <v>4</v>
      </c>
      <c r="CE96" s="9"/>
      <c r="CF96" s="3">
        <v>18</v>
      </c>
      <c r="CG96" s="3">
        <v>39</v>
      </c>
      <c r="CH96" s="3">
        <v>75</v>
      </c>
      <c r="CI96" s="6">
        <f>COUNTIF(AG96:BB96, "Dispone")/22</f>
        <v>0.81818181818181823</v>
      </c>
      <c r="CJ96" s="7">
        <f>AVERAGE(BC96:BL96)</f>
        <v>3.9</v>
      </c>
      <c r="CK96" s="15">
        <f>AVERAGE(BM96:CD96)</f>
        <v>4.166666666666667</v>
      </c>
      <c r="CL96" s="9" t="str">
        <f>IF(AND(CI96&gt;50%, CJ96&gt;2.5, CK96&gt;2.5), "Compromiso", "")</f>
        <v>Compromiso</v>
      </c>
      <c r="CM96" s="9" t="str">
        <f>IF(AND(CI96&gt;75%, CJ96&gt;4, CK96&gt;4), "Liderazgo", "")</f>
        <v/>
      </c>
      <c r="CN96" s="9" t="str">
        <f>IF(AND(CI96&gt;90%, CJ96&gt;4.5, CK96&gt;4.5), "Transformación", "")</f>
        <v/>
      </c>
      <c r="CO96" s="9" t="s">
        <v>95</v>
      </c>
      <c r="CP96" s="9" t="s">
        <v>95</v>
      </c>
    </row>
    <row r="97" spans="1:155" ht="17.25" customHeight="1" x14ac:dyDescent="0.25">
      <c r="A97" s="16">
        <v>45961.213888888888</v>
      </c>
      <c r="B97" s="16">
        <v>45961.232638888891</v>
      </c>
      <c r="C97" s="3" t="s">
        <v>96</v>
      </c>
      <c r="D97" s="11">
        <v>177226229241</v>
      </c>
      <c r="E97" s="3">
        <v>1596</v>
      </c>
      <c r="F97" s="3" t="b">
        <v>1</v>
      </c>
      <c r="G97" s="16">
        <v>45961.232638888891</v>
      </c>
      <c r="H97" s="3" t="s">
        <v>264</v>
      </c>
      <c r="I97" s="3">
        <v>19.047699999999999</v>
      </c>
      <c r="J97" s="3">
        <v>-98.045000000000002</v>
      </c>
      <c r="K97" s="3" t="s">
        <v>98</v>
      </c>
      <c r="L97" s="3" t="s">
        <v>265</v>
      </c>
      <c r="M97" s="3" t="s">
        <v>266</v>
      </c>
      <c r="N97" s="3" t="s">
        <v>267</v>
      </c>
      <c r="O97" s="3" t="s">
        <v>268</v>
      </c>
      <c r="P97" s="3">
        <v>5639680836</v>
      </c>
      <c r="Q97" s="3" t="s">
        <v>144</v>
      </c>
      <c r="R97" s="3">
        <v>2013</v>
      </c>
      <c r="S97" s="3">
        <v>80</v>
      </c>
      <c r="T97" s="3">
        <v>1368</v>
      </c>
      <c r="U97" s="3">
        <v>0</v>
      </c>
      <c r="V97" s="3">
        <v>0</v>
      </c>
      <c r="W97" s="3" t="s">
        <v>118</v>
      </c>
      <c r="X97" s="3">
        <v>0</v>
      </c>
      <c r="Y97" s="3" t="s">
        <v>153</v>
      </c>
      <c r="Z97" s="3">
        <v>4</v>
      </c>
      <c r="AA97" s="3">
        <v>86640</v>
      </c>
      <c r="AB97" s="3">
        <v>0.5</v>
      </c>
      <c r="AC97" s="3">
        <v>120000</v>
      </c>
      <c r="AD97" s="3">
        <v>1680000</v>
      </c>
      <c r="AE97" s="3">
        <v>35000</v>
      </c>
      <c r="AF97" s="3">
        <v>0</v>
      </c>
      <c r="AG97" s="3" t="s">
        <v>93</v>
      </c>
      <c r="AH97" s="3" t="s">
        <v>93</v>
      </c>
      <c r="AI97" s="3" t="s">
        <v>94</v>
      </c>
      <c r="AJ97" s="3" t="s">
        <v>93</v>
      </c>
      <c r="AK97" s="3" t="s">
        <v>93</v>
      </c>
      <c r="AL97" s="3" t="s">
        <v>93</v>
      </c>
      <c r="AM97" s="3" t="s">
        <v>94</v>
      </c>
      <c r="AN97" s="3" t="s">
        <v>94</v>
      </c>
      <c r="AO97" s="3" t="s">
        <v>94</v>
      </c>
      <c r="AP97" s="3" t="s">
        <v>94</v>
      </c>
      <c r="AQ97" s="3" t="s">
        <v>94</v>
      </c>
      <c r="AR97" s="3" t="s">
        <v>93</v>
      </c>
      <c r="AS97" s="3" t="s">
        <v>93</v>
      </c>
      <c r="AT97" s="3" t="s">
        <v>93</v>
      </c>
      <c r="AU97" s="3" t="s">
        <v>93</v>
      </c>
      <c r="AV97" s="3" t="s">
        <v>93</v>
      </c>
      <c r="AW97" s="3" t="s">
        <v>94</v>
      </c>
      <c r="AX97" s="3" t="s">
        <v>94</v>
      </c>
      <c r="AY97" s="3" t="s">
        <v>94</v>
      </c>
      <c r="AZ97" s="3" t="s">
        <v>94</v>
      </c>
      <c r="BA97" s="3" t="s">
        <v>93</v>
      </c>
      <c r="BB97" s="3" t="s">
        <v>93</v>
      </c>
      <c r="BC97" s="3">
        <v>3</v>
      </c>
      <c r="BD97" s="3">
        <v>3</v>
      </c>
      <c r="BE97" s="3">
        <v>1</v>
      </c>
      <c r="BF97" s="3">
        <v>3</v>
      </c>
      <c r="BG97" s="3">
        <v>3</v>
      </c>
      <c r="BH97" s="3">
        <v>4</v>
      </c>
      <c r="BI97" s="3">
        <v>4</v>
      </c>
      <c r="BJ97" s="3">
        <v>4</v>
      </c>
      <c r="BK97" s="3">
        <v>4</v>
      </c>
      <c r="BL97" s="3">
        <v>3</v>
      </c>
      <c r="BM97" s="3">
        <v>5</v>
      </c>
      <c r="BN97" s="3">
        <v>3</v>
      </c>
      <c r="BO97" s="3">
        <v>4</v>
      </c>
      <c r="BP97" s="3">
        <v>4</v>
      </c>
      <c r="BQ97" s="3">
        <v>3</v>
      </c>
      <c r="BR97" s="3">
        <v>4</v>
      </c>
      <c r="BS97" s="3">
        <v>4</v>
      </c>
      <c r="BT97" s="3">
        <v>5</v>
      </c>
      <c r="BU97" s="3">
        <v>5</v>
      </c>
      <c r="BV97" s="3">
        <v>4</v>
      </c>
      <c r="BW97" s="3">
        <v>4</v>
      </c>
      <c r="BX97" s="3">
        <v>5</v>
      </c>
      <c r="BY97" s="3">
        <v>5</v>
      </c>
      <c r="BZ97" s="3">
        <v>5</v>
      </c>
      <c r="CA97" s="3">
        <v>5</v>
      </c>
      <c r="CB97" s="3">
        <v>5</v>
      </c>
      <c r="CC97" s="3">
        <v>4</v>
      </c>
      <c r="CD97" s="3">
        <v>4</v>
      </c>
      <c r="CE97" s="3" t="s">
        <v>219</v>
      </c>
      <c r="CF97" s="3">
        <v>12</v>
      </c>
      <c r="CG97" s="3">
        <v>32</v>
      </c>
      <c r="CH97" s="3">
        <v>78</v>
      </c>
      <c r="CI97" s="6">
        <f>COUNTIF(AG97:BB97, "Dispone")/22</f>
        <v>0.54545454545454541</v>
      </c>
      <c r="CJ97" s="7">
        <f>AVERAGE(BC97:BL97)</f>
        <v>3.2</v>
      </c>
      <c r="CK97" s="15">
        <f>AVERAGE(BM97:CD97)</f>
        <v>4.333333333333333</v>
      </c>
      <c r="CL97" s="9" t="str">
        <f>IF(AND(CI97&gt;50%, CJ97&gt;2.5, CK97&gt;2.5), "Compromiso", "")</f>
        <v>Compromiso</v>
      </c>
      <c r="CM97" s="9" t="str">
        <f>IF(AND(CI97&gt;75%, CJ97&gt;4, CK97&gt;4), "Liderazgo", "")</f>
        <v/>
      </c>
      <c r="CN97" s="9" t="str">
        <f>IF(AND(CI97&gt;90%, CJ97&gt;4.5, CK97&gt;4.5), "Transformación", "")</f>
        <v/>
      </c>
      <c r="CO97" s="9" t="s">
        <v>95</v>
      </c>
      <c r="CP97" s="9" t="s">
        <v>95</v>
      </c>
    </row>
    <row r="98" spans="1:155" ht="17.25" customHeight="1" x14ac:dyDescent="0.25">
      <c r="A98" s="16">
        <v>45976.851388888892</v>
      </c>
      <c r="B98" s="16">
        <v>45976.868750000001</v>
      </c>
      <c r="C98" s="3" t="s">
        <v>96</v>
      </c>
      <c r="D98" s="3" t="s">
        <v>327</v>
      </c>
      <c r="E98" s="3">
        <v>1486</v>
      </c>
      <c r="F98" s="3" t="b">
        <v>1</v>
      </c>
      <c r="G98" s="16">
        <v>45976.868750000001</v>
      </c>
      <c r="H98" s="3" t="s">
        <v>328</v>
      </c>
      <c r="I98" s="3">
        <v>37.384500000000003</v>
      </c>
      <c r="J98" s="3">
        <v>-6.0000999999999998</v>
      </c>
      <c r="K98" s="3" t="s">
        <v>98</v>
      </c>
      <c r="L98" s="3" t="s">
        <v>329</v>
      </c>
      <c r="M98" s="3" t="s">
        <v>330</v>
      </c>
      <c r="N98" s="3" t="s">
        <v>331</v>
      </c>
      <c r="O98" s="3" t="s">
        <v>965</v>
      </c>
      <c r="P98" s="3">
        <v>999446121</v>
      </c>
      <c r="Q98" s="3" t="s">
        <v>231</v>
      </c>
      <c r="R98" s="3">
        <v>1996</v>
      </c>
      <c r="S98" s="3">
        <v>4929</v>
      </c>
      <c r="T98" s="3">
        <v>19457</v>
      </c>
      <c r="U98" s="3">
        <v>1605</v>
      </c>
      <c r="V98" s="3">
        <v>0</v>
      </c>
      <c r="W98" s="3" t="s">
        <v>91</v>
      </c>
      <c r="X98" s="3">
        <v>0.35</v>
      </c>
      <c r="Y98" s="3" t="s">
        <v>153</v>
      </c>
      <c r="Z98" s="3">
        <v>6</v>
      </c>
      <c r="AA98" s="3">
        <v>1654920</v>
      </c>
      <c r="AB98" s="3">
        <v>661</v>
      </c>
      <c r="AC98" s="3">
        <v>10</v>
      </c>
      <c r="AD98" s="3">
        <v>29141</v>
      </c>
      <c r="AE98" s="3">
        <v>5</v>
      </c>
      <c r="AF98" s="3">
        <v>50000</v>
      </c>
      <c r="AG98" s="3" t="s">
        <v>93</v>
      </c>
      <c r="AH98" s="3" t="s">
        <v>93</v>
      </c>
      <c r="AI98" s="3" t="s">
        <v>93</v>
      </c>
      <c r="AJ98" s="3" t="s">
        <v>93</v>
      </c>
      <c r="AK98" s="3" t="s">
        <v>93</v>
      </c>
      <c r="AL98" s="3" t="s">
        <v>93</v>
      </c>
      <c r="AM98" s="3" t="s">
        <v>93</v>
      </c>
      <c r="AN98" s="3" t="s">
        <v>94</v>
      </c>
      <c r="AO98" s="3" t="s">
        <v>93</v>
      </c>
      <c r="AP98" s="3" t="s">
        <v>93</v>
      </c>
      <c r="AQ98" s="3" t="s">
        <v>94</v>
      </c>
      <c r="AR98" s="3" t="s">
        <v>93</v>
      </c>
      <c r="AS98" s="3" t="s">
        <v>93</v>
      </c>
      <c r="AT98" s="3" t="s">
        <v>94</v>
      </c>
      <c r="AU98" s="3" t="s">
        <v>93</v>
      </c>
      <c r="AV98" s="3" t="s">
        <v>93</v>
      </c>
      <c r="AW98" s="3" t="s">
        <v>94</v>
      </c>
      <c r="AX98" s="3" t="s">
        <v>94</v>
      </c>
      <c r="AY98" s="3" t="s">
        <v>93</v>
      </c>
      <c r="AZ98" s="3" t="s">
        <v>94</v>
      </c>
      <c r="BA98" s="3" t="s">
        <v>93</v>
      </c>
      <c r="BB98" s="3" t="s">
        <v>93</v>
      </c>
      <c r="BC98" s="3">
        <v>3</v>
      </c>
      <c r="BD98" s="3">
        <v>3</v>
      </c>
      <c r="BE98" s="3">
        <v>1</v>
      </c>
      <c r="BF98" s="3">
        <v>3</v>
      </c>
      <c r="BG98" s="3">
        <v>4</v>
      </c>
      <c r="BH98" s="3">
        <v>5</v>
      </c>
      <c r="BI98" s="3">
        <v>1</v>
      </c>
      <c r="BJ98" s="3">
        <v>5</v>
      </c>
      <c r="BK98" s="3">
        <v>3</v>
      </c>
      <c r="BL98" s="3">
        <v>5</v>
      </c>
      <c r="BM98" s="3">
        <v>5</v>
      </c>
      <c r="BN98" s="3">
        <v>4</v>
      </c>
      <c r="BO98" s="3">
        <v>4</v>
      </c>
      <c r="BP98" s="3">
        <v>4</v>
      </c>
      <c r="BQ98" s="3">
        <v>3</v>
      </c>
      <c r="BR98" s="3">
        <v>5</v>
      </c>
      <c r="BS98" s="3">
        <v>5</v>
      </c>
      <c r="BT98" s="3">
        <v>4</v>
      </c>
      <c r="BU98" s="3">
        <v>3</v>
      </c>
      <c r="BV98" s="3">
        <v>5</v>
      </c>
      <c r="BW98" s="3">
        <v>4</v>
      </c>
      <c r="BX98" s="3">
        <v>4</v>
      </c>
      <c r="BY98" s="3">
        <v>3</v>
      </c>
      <c r="BZ98" s="3">
        <v>5</v>
      </c>
      <c r="CA98" s="3">
        <v>4</v>
      </c>
      <c r="CB98" s="3">
        <v>4</v>
      </c>
      <c r="CC98" s="3">
        <v>3</v>
      </c>
      <c r="CD98" s="3">
        <v>5</v>
      </c>
      <c r="CF98" s="3">
        <v>16</v>
      </c>
      <c r="CG98" s="3">
        <v>33</v>
      </c>
      <c r="CH98" s="3">
        <v>74</v>
      </c>
      <c r="CI98" s="6">
        <f>COUNTIF(AG98:BB98, "Dispone")/22</f>
        <v>0.72727272727272729</v>
      </c>
      <c r="CJ98" s="7">
        <f>AVERAGE(BC98:BL98)</f>
        <v>3.3</v>
      </c>
      <c r="CK98" s="15">
        <f>AVERAGE(BM98:CD98)</f>
        <v>4.1111111111111107</v>
      </c>
      <c r="CL98" s="9" t="str">
        <f>IF(AND(CI98&gt;50%, CJ98&gt;2.5, CK98&gt;2.5), "Compromiso", "")</f>
        <v>Compromiso</v>
      </c>
      <c r="CM98" s="9" t="str">
        <f>IF(AND(CI98&gt;75%, CJ98&gt;4, CK98&gt;4), "Liderazgo", "")</f>
        <v/>
      </c>
      <c r="CN98" s="9" t="str">
        <f>IF(AND(CI98&gt;90%, CJ98&gt;4.5, CK98&gt;4.5), "Transformación", "")</f>
        <v/>
      </c>
      <c r="CO98" s="9" t="s">
        <v>95</v>
      </c>
      <c r="CP98" s="9" t="s">
        <v>95</v>
      </c>
    </row>
    <row r="99" spans="1:155" ht="17.25" customHeight="1" x14ac:dyDescent="0.25">
      <c r="A99" s="10">
        <v>45993.231944444444</v>
      </c>
      <c r="B99" s="10">
        <v>45993.248611111114</v>
      </c>
      <c r="C99" s="3" t="s">
        <v>96</v>
      </c>
      <c r="D99" s="3" t="s">
        <v>259</v>
      </c>
      <c r="E99" s="3">
        <v>1479</v>
      </c>
      <c r="F99" s="3" t="b">
        <v>1</v>
      </c>
      <c r="G99" s="10">
        <v>45993.248611111114</v>
      </c>
      <c r="H99" s="3" t="s">
        <v>260</v>
      </c>
      <c r="I99" s="3">
        <v>20.507300000000001</v>
      </c>
      <c r="J99" s="3">
        <v>-100.804</v>
      </c>
      <c r="K99" s="3" t="s">
        <v>98</v>
      </c>
      <c r="L99" s="3" t="s">
        <v>261</v>
      </c>
      <c r="M99" s="3" t="s">
        <v>262</v>
      </c>
      <c r="N99" s="3" t="s">
        <v>263</v>
      </c>
      <c r="O99" s="3" t="s">
        <v>966</v>
      </c>
      <c r="Q99" s="3" t="s">
        <v>124</v>
      </c>
      <c r="R99" s="3">
        <v>1956</v>
      </c>
      <c r="S99" s="3">
        <v>1357</v>
      </c>
      <c r="T99" s="3">
        <v>12068</v>
      </c>
      <c r="U99" s="3">
        <v>0</v>
      </c>
      <c r="V99" s="3">
        <v>0</v>
      </c>
      <c r="W99" s="3" t="s">
        <v>91</v>
      </c>
      <c r="X99" s="3">
        <v>4.54</v>
      </c>
      <c r="Y99" s="3" t="s">
        <v>92</v>
      </c>
      <c r="Z99" s="3">
        <v>186</v>
      </c>
      <c r="AA99" s="3">
        <v>4608266</v>
      </c>
      <c r="AB99" s="3">
        <v>1214</v>
      </c>
      <c r="AC99" s="3">
        <v>8</v>
      </c>
      <c r="AD99" s="3">
        <v>103092</v>
      </c>
      <c r="AE99" s="3">
        <v>3</v>
      </c>
      <c r="AF99" s="3">
        <v>84146</v>
      </c>
      <c r="AG99" s="3" t="s">
        <v>93</v>
      </c>
      <c r="AH99" s="3" t="s">
        <v>93</v>
      </c>
      <c r="AI99" s="3" t="s">
        <v>93</v>
      </c>
      <c r="AJ99" s="3" t="s">
        <v>93</v>
      </c>
      <c r="AK99" s="3" t="s">
        <v>93</v>
      </c>
      <c r="AL99" s="3" t="s">
        <v>93</v>
      </c>
      <c r="AM99" s="3" t="s">
        <v>93</v>
      </c>
      <c r="AN99" s="3" t="s">
        <v>93</v>
      </c>
      <c r="AO99" s="3" t="s">
        <v>93</v>
      </c>
      <c r="AP99" s="3" t="s">
        <v>94</v>
      </c>
      <c r="AQ99" s="3" t="s">
        <v>93</v>
      </c>
      <c r="AR99" s="3" t="s">
        <v>93</v>
      </c>
      <c r="AS99" s="3" t="s">
        <v>93</v>
      </c>
      <c r="AT99" s="3" t="s">
        <v>93</v>
      </c>
      <c r="AU99" s="3" t="s">
        <v>93</v>
      </c>
      <c r="AV99" s="3" t="s">
        <v>93</v>
      </c>
      <c r="AW99" s="3" t="s">
        <v>93</v>
      </c>
      <c r="AX99" s="3" t="s">
        <v>94</v>
      </c>
      <c r="AY99" s="3" t="s">
        <v>94</v>
      </c>
      <c r="AZ99" s="3" t="s">
        <v>93</v>
      </c>
      <c r="BA99" s="3" t="s">
        <v>93</v>
      </c>
      <c r="BB99" s="3" t="s">
        <v>93</v>
      </c>
      <c r="BC99" s="3">
        <v>3</v>
      </c>
      <c r="BD99" s="3">
        <v>4</v>
      </c>
      <c r="BE99" s="3">
        <v>3</v>
      </c>
      <c r="BF99" s="3">
        <v>4</v>
      </c>
      <c r="BG99" s="3">
        <v>4</v>
      </c>
      <c r="BH99" s="3">
        <v>4</v>
      </c>
      <c r="BI99" s="3">
        <v>3</v>
      </c>
      <c r="BJ99" s="3">
        <v>4</v>
      </c>
      <c r="BK99" s="3">
        <v>4</v>
      </c>
      <c r="BL99" s="3">
        <v>3</v>
      </c>
      <c r="BM99" s="3">
        <v>5</v>
      </c>
      <c r="BN99" s="3">
        <v>5</v>
      </c>
      <c r="BO99" s="3">
        <v>5</v>
      </c>
      <c r="BP99" s="3">
        <v>5</v>
      </c>
      <c r="BQ99" s="3">
        <v>5</v>
      </c>
      <c r="BR99" s="3">
        <v>5</v>
      </c>
      <c r="BS99" s="3">
        <v>5</v>
      </c>
      <c r="BT99" s="3">
        <v>5</v>
      </c>
      <c r="BU99" s="3">
        <v>5</v>
      </c>
      <c r="BV99" s="3">
        <v>5</v>
      </c>
      <c r="BW99" s="3">
        <v>5</v>
      </c>
      <c r="BX99" s="3">
        <v>5</v>
      </c>
      <c r="BY99" s="3">
        <v>5</v>
      </c>
      <c r="BZ99" s="3">
        <v>5</v>
      </c>
      <c r="CA99" s="3">
        <v>5</v>
      </c>
      <c r="CB99" s="3">
        <v>5</v>
      </c>
      <c r="CC99" s="3">
        <v>5</v>
      </c>
      <c r="CD99" s="3">
        <v>5</v>
      </c>
      <c r="CF99" s="3">
        <v>19</v>
      </c>
      <c r="CG99" s="3">
        <v>36</v>
      </c>
      <c r="CH99" s="3">
        <v>90</v>
      </c>
      <c r="CI99" s="6">
        <f>COUNTIF(AG99:BB99, "Dispone")/22</f>
        <v>0.86363636363636365</v>
      </c>
      <c r="CJ99" s="7">
        <f>AVERAGE(BC99:BL99)</f>
        <v>3.6</v>
      </c>
      <c r="CK99" s="15">
        <f>AVERAGE(BM99:CD99)</f>
        <v>5</v>
      </c>
      <c r="CL99" s="9" t="str">
        <f>IF(AND(CI99&gt;50%, CJ99&gt;2.5, CK99&gt;2.5), "Compromiso", "")</f>
        <v>Compromiso</v>
      </c>
      <c r="CM99" s="9" t="str">
        <f>IF(AND(CI99&gt;75%, CJ99&gt;4, CK99&gt;4), "Liderazgo", "")</f>
        <v/>
      </c>
      <c r="CN99" s="9" t="str">
        <f>IF(AND(CI99&gt;90%, CJ99&gt;4.5, CK99&gt;4.5), "Transformación", "")</f>
        <v/>
      </c>
      <c r="CO99" s="9" t="s">
        <v>95</v>
      </c>
      <c r="CP99" s="9" t="s">
        <v>146</v>
      </c>
    </row>
    <row r="100" spans="1:155" ht="17.25" customHeight="1" x14ac:dyDescent="0.25">
      <c r="A100" s="16">
        <v>45961.627083333333</v>
      </c>
      <c r="B100" s="16">
        <v>45961.644444444442</v>
      </c>
      <c r="C100" s="3" t="s">
        <v>96</v>
      </c>
      <c r="D100" s="11">
        <v>201223178193</v>
      </c>
      <c r="E100" s="3">
        <v>1462</v>
      </c>
      <c r="F100" s="3" t="b">
        <v>1</v>
      </c>
      <c r="G100" s="16">
        <v>45961.644444444442</v>
      </c>
      <c r="H100" s="3" t="s">
        <v>544</v>
      </c>
      <c r="I100" s="3">
        <v>-33.365699999999997</v>
      </c>
      <c r="J100" s="3">
        <v>-71.664000000000001</v>
      </c>
      <c r="K100" s="3" t="s">
        <v>98</v>
      </c>
      <c r="L100" s="3" t="s">
        <v>545</v>
      </c>
      <c r="M100" s="3" t="s">
        <v>546</v>
      </c>
      <c r="N100" s="3" t="s">
        <v>547</v>
      </c>
      <c r="O100" s="3" t="s">
        <v>943</v>
      </c>
      <c r="P100" s="3">
        <f>56978552338</f>
        <v>56978552338</v>
      </c>
      <c r="Q100" s="3" t="s">
        <v>124</v>
      </c>
      <c r="R100" s="3">
        <v>1888</v>
      </c>
      <c r="S100" s="3">
        <v>9000</v>
      </c>
      <c r="T100" s="3">
        <v>32000</v>
      </c>
      <c r="U100" s="3">
        <v>20000</v>
      </c>
      <c r="V100" s="3">
        <v>0</v>
      </c>
      <c r="W100" s="3" t="s">
        <v>91</v>
      </c>
      <c r="X100" s="3">
        <v>5</v>
      </c>
      <c r="Y100" s="3" t="s">
        <v>92</v>
      </c>
      <c r="Z100" s="3">
        <v>120</v>
      </c>
      <c r="AA100" s="3">
        <v>29283000</v>
      </c>
      <c r="AB100" s="3">
        <v>7100</v>
      </c>
      <c r="AC100" s="3">
        <v>8</v>
      </c>
      <c r="AD100" s="3">
        <v>654700</v>
      </c>
      <c r="AE100" s="3">
        <v>0.8</v>
      </c>
      <c r="AF100" s="3">
        <v>903000</v>
      </c>
      <c r="AG100" s="3" t="s">
        <v>94</v>
      </c>
      <c r="AH100" s="3" t="s">
        <v>93</v>
      </c>
      <c r="AI100" s="3" t="s">
        <v>93</v>
      </c>
      <c r="AJ100" s="3" t="s">
        <v>93</v>
      </c>
      <c r="AK100" s="3" t="s">
        <v>93</v>
      </c>
      <c r="AL100" s="3" t="s">
        <v>93</v>
      </c>
      <c r="AM100" s="3" t="s">
        <v>93</v>
      </c>
      <c r="AN100" s="3" t="s">
        <v>93</v>
      </c>
      <c r="AO100" s="3" t="s">
        <v>93</v>
      </c>
      <c r="AP100" s="3" t="s">
        <v>94</v>
      </c>
      <c r="AQ100" s="3" t="s">
        <v>93</v>
      </c>
      <c r="AR100" s="3" t="s">
        <v>93</v>
      </c>
      <c r="AS100" s="3" t="s">
        <v>93</v>
      </c>
      <c r="AT100" s="3" t="s">
        <v>93</v>
      </c>
      <c r="AU100" s="3" t="s">
        <v>93</v>
      </c>
      <c r="AV100" s="3" t="s">
        <v>93</v>
      </c>
      <c r="AW100" s="3" t="s">
        <v>93</v>
      </c>
      <c r="AX100" s="3" t="s">
        <v>94</v>
      </c>
      <c r="AY100" s="3" t="s">
        <v>93</v>
      </c>
      <c r="AZ100" s="3" t="s">
        <v>93</v>
      </c>
      <c r="BA100" s="3" t="s">
        <v>93</v>
      </c>
      <c r="BB100" s="3" t="s">
        <v>94</v>
      </c>
      <c r="BC100" s="3">
        <v>5</v>
      </c>
      <c r="BD100" s="3">
        <v>5</v>
      </c>
      <c r="BE100" s="3">
        <v>5</v>
      </c>
      <c r="BF100" s="3">
        <v>3</v>
      </c>
      <c r="BG100" s="3">
        <v>2</v>
      </c>
      <c r="BH100" s="3">
        <v>5</v>
      </c>
      <c r="BI100" s="3">
        <v>4</v>
      </c>
      <c r="BJ100" s="3">
        <v>5</v>
      </c>
      <c r="BK100" s="3">
        <v>5</v>
      </c>
      <c r="BL100" s="3">
        <v>5</v>
      </c>
      <c r="BM100" s="3">
        <v>5</v>
      </c>
      <c r="BN100" s="3">
        <v>5</v>
      </c>
      <c r="BO100" s="3">
        <v>5</v>
      </c>
      <c r="BP100" s="3">
        <v>5</v>
      </c>
      <c r="BQ100" s="3">
        <v>5</v>
      </c>
      <c r="BR100" s="3">
        <v>5</v>
      </c>
      <c r="BS100" s="3">
        <v>5</v>
      </c>
      <c r="BT100" s="3">
        <v>5</v>
      </c>
      <c r="BU100" s="3">
        <v>5</v>
      </c>
      <c r="BV100" s="3">
        <v>5</v>
      </c>
      <c r="BW100" s="3">
        <v>3</v>
      </c>
      <c r="BX100" s="3">
        <v>3</v>
      </c>
      <c r="BY100" s="3">
        <v>5</v>
      </c>
      <c r="BZ100" s="3">
        <v>5</v>
      </c>
      <c r="CA100" s="3">
        <v>5</v>
      </c>
      <c r="CB100" s="3">
        <v>5</v>
      </c>
      <c r="CC100" s="3">
        <v>5</v>
      </c>
      <c r="CD100" s="3">
        <v>5</v>
      </c>
      <c r="CF100" s="3">
        <v>18</v>
      </c>
      <c r="CG100" s="3">
        <v>44</v>
      </c>
      <c r="CH100" s="3">
        <v>86</v>
      </c>
      <c r="CI100" s="6">
        <f>COUNTIF(AG100:BB100, "Dispone")/22</f>
        <v>0.81818181818181823</v>
      </c>
      <c r="CJ100" s="7">
        <f>AVERAGE(BC100:BL100)</f>
        <v>4.4000000000000004</v>
      </c>
      <c r="CK100" s="15">
        <f>AVERAGE(BM100:CD100)</f>
        <v>4.7777777777777777</v>
      </c>
      <c r="CL100" s="9" t="str">
        <f>IF(AND(CI100&gt;50%, CJ100&gt;2.5, CK100&gt;2.5), "Compromiso", "")</f>
        <v>Compromiso</v>
      </c>
      <c r="CM100" s="9" t="str">
        <f>IF(AND(CI100&gt;75%, CJ100&gt;4, CK100&gt;4), "Liderazgo", "")</f>
        <v>Liderazgo</v>
      </c>
      <c r="CN100" s="9" t="str">
        <f>IF(AND(CI100&gt;90%, CJ100&gt;4.5, CK100&gt;4.5), "Transformación", "")</f>
        <v/>
      </c>
      <c r="CO100" s="9" t="s">
        <v>103</v>
      </c>
      <c r="CP100" s="9" t="s">
        <v>146</v>
      </c>
    </row>
    <row r="101" spans="1:155" ht="17.25" customHeight="1" x14ac:dyDescent="0.25">
      <c r="A101" s="16">
        <v>45982.961805555555</v>
      </c>
      <c r="B101" s="16">
        <v>45982.978472222225</v>
      </c>
      <c r="C101" s="3" t="s">
        <v>96</v>
      </c>
      <c r="D101" s="11">
        <v>187154226244</v>
      </c>
      <c r="E101" s="3">
        <v>1427</v>
      </c>
      <c r="F101" s="3" t="b">
        <v>1</v>
      </c>
      <c r="G101" s="16">
        <v>45982.978472222225</v>
      </c>
      <c r="H101" s="3" t="s">
        <v>784</v>
      </c>
      <c r="I101" s="3">
        <v>20.0807</v>
      </c>
      <c r="J101" s="3">
        <v>-98.369200000000006</v>
      </c>
      <c r="K101" s="3" t="s">
        <v>98</v>
      </c>
      <c r="L101" s="3" t="s">
        <v>785</v>
      </c>
      <c r="M101" s="3" t="s">
        <v>107</v>
      </c>
      <c r="O101" s="3" t="s">
        <v>786</v>
      </c>
      <c r="Q101" s="3" t="s">
        <v>130</v>
      </c>
      <c r="AG101" s="3" t="s">
        <v>94</v>
      </c>
      <c r="AH101" s="3" t="s">
        <v>93</v>
      </c>
      <c r="AJ101" s="3" t="s">
        <v>94</v>
      </c>
      <c r="AK101" s="3" t="s">
        <v>94</v>
      </c>
      <c r="AL101" s="3" t="s">
        <v>93</v>
      </c>
      <c r="AM101" s="3" t="s">
        <v>94</v>
      </c>
      <c r="AN101" s="3" t="s">
        <v>94</v>
      </c>
      <c r="AO101" s="3" t="s">
        <v>94</v>
      </c>
      <c r="AP101" s="3" t="s">
        <v>93</v>
      </c>
      <c r="AQ101" s="3" t="s">
        <v>94</v>
      </c>
      <c r="AR101" s="3" t="s">
        <v>93</v>
      </c>
      <c r="AS101" s="3" t="s">
        <v>93</v>
      </c>
      <c r="AT101" s="3" t="s">
        <v>93</v>
      </c>
      <c r="AU101" s="3" t="s">
        <v>93</v>
      </c>
      <c r="AV101" s="3" t="s">
        <v>94</v>
      </c>
      <c r="AW101" s="3" t="s">
        <v>93</v>
      </c>
      <c r="AX101" s="3" t="s">
        <v>93</v>
      </c>
      <c r="AY101" s="3" t="s">
        <v>93</v>
      </c>
      <c r="AZ101" s="3" t="s">
        <v>94</v>
      </c>
      <c r="BA101" s="3" t="s">
        <v>94</v>
      </c>
      <c r="BB101" s="3" t="s">
        <v>93</v>
      </c>
      <c r="BC101" s="3">
        <v>3</v>
      </c>
      <c r="BD101" s="3">
        <v>3</v>
      </c>
      <c r="BE101" s="3">
        <v>3</v>
      </c>
      <c r="BF101" s="3">
        <v>3</v>
      </c>
      <c r="BG101" s="3">
        <v>4</v>
      </c>
      <c r="BH101" s="3">
        <v>4</v>
      </c>
      <c r="BI101" s="3">
        <v>2</v>
      </c>
      <c r="BJ101" s="3">
        <v>3</v>
      </c>
      <c r="BK101" s="3">
        <v>2</v>
      </c>
      <c r="BL101" s="3">
        <v>4</v>
      </c>
      <c r="BM101" s="3">
        <v>4</v>
      </c>
      <c r="BN101" s="3">
        <v>4</v>
      </c>
      <c r="BO101" s="3">
        <v>2</v>
      </c>
      <c r="BP101" s="3">
        <v>3</v>
      </c>
      <c r="BQ101" s="3">
        <v>3</v>
      </c>
      <c r="BR101" s="3">
        <v>4</v>
      </c>
      <c r="BS101" s="3">
        <v>4</v>
      </c>
      <c r="BT101" s="3">
        <v>5</v>
      </c>
      <c r="BU101" s="3">
        <v>4</v>
      </c>
      <c r="BV101" s="3">
        <v>4</v>
      </c>
      <c r="BW101" s="3">
        <v>5</v>
      </c>
      <c r="BX101" s="3">
        <v>5</v>
      </c>
      <c r="BY101" s="3">
        <v>5</v>
      </c>
      <c r="BZ101" s="3">
        <v>3</v>
      </c>
      <c r="CA101" s="3">
        <v>5</v>
      </c>
      <c r="CB101" s="3">
        <v>4</v>
      </c>
      <c r="CC101" s="3">
        <v>5</v>
      </c>
      <c r="CD101" s="3">
        <v>5</v>
      </c>
      <c r="CF101" s="3">
        <f>COUNTIF(AG101:BB101, "Dispone")</f>
        <v>11</v>
      </c>
      <c r="CG101" s="3">
        <v>31</v>
      </c>
      <c r="CH101" s="3">
        <f>SUM(BM101:CD101)</f>
        <v>74</v>
      </c>
      <c r="CI101" s="6">
        <f>COUNTIF(AG101:BB101, "Dispone")/22</f>
        <v>0.5</v>
      </c>
      <c r="CJ101" s="7">
        <f>AVERAGE(BC101:BL101)</f>
        <v>3.1</v>
      </c>
      <c r="CK101" s="8">
        <f>AVERAGE(BM101:CD101)</f>
        <v>4.1111111111111107</v>
      </c>
      <c r="CL101" s="9" t="str">
        <f>IF(AND(CI101&gt;50%, CJ101&gt;2.5, CK101&gt;2.5), "Compromiso", "")</f>
        <v/>
      </c>
      <c r="CM101" s="9" t="str">
        <f>IF(AND(CI101&gt;75%, CJ101&gt;4, CK101&gt;4), "Liderazgo", "")</f>
        <v/>
      </c>
      <c r="CN101" s="9" t="str">
        <f>IF(AND(CI101&gt;90%, CJ101&gt;4.5, CK101&gt;4.5), "Transformación", "")</f>
        <v/>
      </c>
      <c r="CO101" s="9" t="s">
        <v>581</v>
      </c>
      <c r="CP101" s="9" t="s">
        <v>146</v>
      </c>
    </row>
    <row r="102" spans="1:155" ht="17.25" customHeight="1" x14ac:dyDescent="0.25">
      <c r="A102" s="12">
        <v>45900.049259259256</v>
      </c>
      <c r="B102" s="12">
        <v>45900.065474537034</v>
      </c>
      <c r="C102" s="9" t="s">
        <v>96</v>
      </c>
      <c r="D102" s="9" t="s">
        <v>348</v>
      </c>
      <c r="E102" s="13">
        <v>1400</v>
      </c>
      <c r="F102" s="9" t="s">
        <v>105</v>
      </c>
      <c r="G102" s="12">
        <v>45900.065495717594</v>
      </c>
      <c r="H102" s="9" t="s">
        <v>349</v>
      </c>
      <c r="I102" s="13">
        <v>-23.5246</v>
      </c>
      <c r="J102" s="13">
        <v>-46.183500000000002</v>
      </c>
      <c r="K102" s="9" t="s">
        <v>113</v>
      </c>
      <c r="L102" s="9" t="s">
        <v>350</v>
      </c>
      <c r="M102" s="3" t="s">
        <v>351</v>
      </c>
      <c r="N102" s="9" t="s">
        <v>352</v>
      </c>
      <c r="O102" s="3" t="s">
        <v>967</v>
      </c>
      <c r="P102" s="9" t="s">
        <v>353</v>
      </c>
      <c r="Q102" s="9" t="s">
        <v>90</v>
      </c>
      <c r="R102" s="3">
        <v>1978</v>
      </c>
      <c r="S102" s="3">
        <v>1495</v>
      </c>
      <c r="T102" s="3">
        <v>1936</v>
      </c>
      <c r="U102" s="3">
        <v>0</v>
      </c>
      <c r="V102" s="3">
        <v>450</v>
      </c>
      <c r="W102" s="9" t="s">
        <v>118</v>
      </c>
      <c r="X102" s="3">
        <v>5</v>
      </c>
      <c r="Y102" s="9" t="s">
        <v>153</v>
      </c>
      <c r="Z102" s="3">
        <v>8</v>
      </c>
      <c r="AA102" s="3">
        <v>1970</v>
      </c>
      <c r="AB102" s="3">
        <v>1236</v>
      </c>
      <c r="AC102" s="3">
        <v>40</v>
      </c>
      <c r="AD102" s="3">
        <v>20000</v>
      </c>
      <c r="AE102" s="3">
        <v>2</v>
      </c>
      <c r="AF102" s="3">
        <v>50000</v>
      </c>
      <c r="AG102" s="9" t="s">
        <v>93</v>
      </c>
      <c r="AH102" s="9" t="s">
        <v>93</v>
      </c>
      <c r="AI102" s="9" t="s">
        <v>93</v>
      </c>
      <c r="AJ102" s="9" t="s">
        <v>93</v>
      </c>
      <c r="AK102" s="9" t="s">
        <v>93</v>
      </c>
      <c r="AL102" s="9" t="s">
        <v>93</v>
      </c>
      <c r="AM102" s="9" t="s">
        <v>93</v>
      </c>
      <c r="AN102" s="9" t="s">
        <v>93</v>
      </c>
      <c r="AO102" s="9" t="s">
        <v>93</v>
      </c>
      <c r="AP102" s="9" t="s">
        <v>93</v>
      </c>
      <c r="AQ102" s="9" t="s">
        <v>93</v>
      </c>
      <c r="AR102" s="9" t="s">
        <v>93</v>
      </c>
      <c r="AS102" s="9" t="s">
        <v>93</v>
      </c>
      <c r="AT102" s="9" t="s">
        <v>93</v>
      </c>
      <c r="AU102" s="9" t="s">
        <v>93</v>
      </c>
      <c r="AV102" s="9" t="s">
        <v>93</v>
      </c>
      <c r="AW102" s="9" t="s">
        <v>93</v>
      </c>
      <c r="AX102" s="9" t="s">
        <v>94</v>
      </c>
      <c r="AY102" s="9" t="s">
        <v>93</v>
      </c>
      <c r="AZ102" s="9" t="s">
        <v>93</v>
      </c>
      <c r="BA102" s="9" t="s">
        <v>93</v>
      </c>
      <c r="BB102" s="9" t="s">
        <v>93</v>
      </c>
      <c r="BC102" s="11">
        <v>5</v>
      </c>
      <c r="BD102" s="11">
        <v>5</v>
      </c>
      <c r="BE102" s="11">
        <v>3</v>
      </c>
      <c r="BF102" s="11">
        <v>4</v>
      </c>
      <c r="BG102" s="11">
        <v>3</v>
      </c>
      <c r="BH102" s="11">
        <v>3</v>
      </c>
      <c r="BI102" s="11">
        <v>3</v>
      </c>
      <c r="BJ102" s="11">
        <v>2</v>
      </c>
      <c r="BK102" s="11">
        <v>3</v>
      </c>
      <c r="BL102" s="11">
        <v>2</v>
      </c>
      <c r="BM102" s="11">
        <v>5</v>
      </c>
      <c r="BN102" s="11">
        <v>5</v>
      </c>
      <c r="BO102" s="11">
        <v>3</v>
      </c>
      <c r="BP102" s="11">
        <v>4</v>
      </c>
      <c r="BQ102" s="11">
        <v>4</v>
      </c>
      <c r="BR102" s="11">
        <v>3</v>
      </c>
      <c r="BS102" s="11">
        <v>4</v>
      </c>
      <c r="BT102" s="11">
        <v>4</v>
      </c>
      <c r="BU102" s="11">
        <v>5</v>
      </c>
      <c r="BV102" s="11">
        <v>5</v>
      </c>
      <c r="BW102" s="11">
        <v>5</v>
      </c>
      <c r="BX102" s="11">
        <v>4</v>
      </c>
      <c r="BY102" s="11">
        <v>5</v>
      </c>
      <c r="BZ102" s="11">
        <v>5</v>
      </c>
      <c r="CA102" s="11">
        <v>5</v>
      </c>
      <c r="CB102" s="11">
        <v>5</v>
      </c>
      <c r="CC102" s="11">
        <v>5</v>
      </c>
      <c r="CD102" s="11">
        <v>5</v>
      </c>
      <c r="CE102" s="9" t="s">
        <v>354</v>
      </c>
      <c r="CF102" s="3">
        <v>21</v>
      </c>
      <c r="CG102" s="3">
        <v>33</v>
      </c>
      <c r="CH102" s="3">
        <v>81</v>
      </c>
      <c r="CI102" s="6">
        <f>COUNTIF(AG102:BB102, "Dispone")/22</f>
        <v>0.95454545454545459</v>
      </c>
      <c r="CJ102" s="7">
        <f>AVERAGE(BC102:BL102)</f>
        <v>3.3</v>
      </c>
      <c r="CK102" s="15">
        <f>AVERAGE(BM102:CD102)</f>
        <v>4.5</v>
      </c>
      <c r="CL102" s="9" t="str">
        <f>IF(AND(CI102&gt;50%, CJ102&gt;2.5, CK102&gt;2.5), "Compromiso", "")</f>
        <v>Compromiso</v>
      </c>
      <c r="CM102" s="9" t="str">
        <f>IF(AND(CI102&gt;75%, CJ102&gt;4, CK102&gt;4), "Liderazgo", "")</f>
        <v/>
      </c>
      <c r="CN102" s="9" t="str">
        <f>IF(AND(CI102&gt;90%, CJ102&gt;4.5, CK102&gt;4.5), "Transformación", "")</f>
        <v/>
      </c>
      <c r="CO102" s="9" t="s">
        <v>95</v>
      </c>
      <c r="CP102" s="9" t="s">
        <v>103</v>
      </c>
    </row>
    <row r="103" spans="1:155" ht="17.25" customHeight="1" x14ac:dyDescent="0.25">
      <c r="A103" s="12">
        <v>45896.917187500003</v>
      </c>
      <c r="B103" s="12">
        <v>45896.933391203704</v>
      </c>
      <c r="C103" s="9" t="s">
        <v>96</v>
      </c>
      <c r="D103" s="9" t="s">
        <v>590</v>
      </c>
      <c r="E103" s="13">
        <v>1399</v>
      </c>
      <c r="F103" s="9" t="s">
        <v>105</v>
      </c>
      <c r="G103" s="12">
        <v>45896.933404872689</v>
      </c>
      <c r="H103" s="9" t="s">
        <v>591</v>
      </c>
      <c r="I103" s="13">
        <v>-34.483600000000003</v>
      </c>
      <c r="J103" s="13">
        <v>-58.931899999999999</v>
      </c>
      <c r="K103" s="9" t="s">
        <v>98</v>
      </c>
      <c r="L103" s="9" t="s">
        <v>592</v>
      </c>
      <c r="M103" s="3" t="s">
        <v>887</v>
      </c>
      <c r="N103" s="9" t="s">
        <v>593</v>
      </c>
      <c r="O103" s="3" t="s">
        <v>968</v>
      </c>
      <c r="P103" s="9" t="s">
        <v>594</v>
      </c>
      <c r="Q103" s="9" t="s">
        <v>124</v>
      </c>
      <c r="R103" s="3">
        <v>1980</v>
      </c>
      <c r="S103" s="3">
        <v>300</v>
      </c>
      <c r="T103" s="3">
        <v>4200</v>
      </c>
      <c r="U103" s="3">
        <v>300</v>
      </c>
      <c r="V103" s="3">
        <v>200</v>
      </c>
      <c r="W103" s="9" t="s">
        <v>91</v>
      </c>
      <c r="X103" s="3">
        <v>2</v>
      </c>
      <c r="Y103" s="9" t="s">
        <v>92</v>
      </c>
      <c r="Z103" s="3">
        <v>10</v>
      </c>
      <c r="AA103" s="3">
        <v>739376</v>
      </c>
      <c r="AB103" s="3">
        <v>0</v>
      </c>
      <c r="AC103" s="3">
        <v>1</v>
      </c>
      <c r="AD103" s="3">
        <v>13712</v>
      </c>
      <c r="AE103" s="3">
        <v>17</v>
      </c>
      <c r="AF103" s="3">
        <v>6000000</v>
      </c>
      <c r="AG103" s="9" t="s">
        <v>93</v>
      </c>
      <c r="AH103" s="9" t="s">
        <v>94</v>
      </c>
      <c r="AI103" s="9" t="s">
        <v>94</v>
      </c>
      <c r="AJ103" s="9" t="s">
        <v>93</v>
      </c>
      <c r="AK103" s="9" t="s">
        <v>93</v>
      </c>
      <c r="AL103" s="9" t="s">
        <v>93</v>
      </c>
      <c r="AM103" s="9" t="s">
        <v>93</v>
      </c>
      <c r="AN103" s="9" t="s">
        <v>93</v>
      </c>
      <c r="AO103" s="9" t="s">
        <v>93</v>
      </c>
      <c r="AP103" s="9" t="s">
        <v>94</v>
      </c>
      <c r="AQ103" s="9" t="s">
        <v>93</v>
      </c>
      <c r="AR103" s="9" t="s">
        <v>93</v>
      </c>
      <c r="AS103" s="9" t="s">
        <v>93</v>
      </c>
      <c r="AT103" s="9" t="s">
        <v>94</v>
      </c>
      <c r="AU103" s="9" t="s">
        <v>94</v>
      </c>
      <c r="AV103" s="9" t="s">
        <v>93</v>
      </c>
      <c r="AW103" s="9" t="s">
        <v>94</v>
      </c>
      <c r="AX103" s="9" t="s">
        <v>94</v>
      </c>
      <c r="AY103" s="9" t="s">
        <v>94</v>
      </c>
      <c r="AZ103" s="9" t="s">
        <v>94</v>
      </c>
      <c r="BA103" s="9" t="s">
        <v>93</v>
      </c>
      <c r="BB103" s="9" t="s">
        <v>93</v>
      </c>
      <c r="BC103" s="11">
        <v>1</v>
      </c>
      <c r="BD103" s="11">
        <v>3</v>
      </c>
      <c r="BE103" s="11">
        <v>1</v>
      </c>
      <c r="BF103" s="11">
        <v>3</v>
      </c>
      <c r="BG103" s="11">
        <v>3</v>
      </c>
      <c r="BH103" s="11">
        <v>3</v>
      </c>
      <c r="BI103" s="11">
        <v>1</v>
      </c>
      <c r="BJ103" s="11">
        <v>2</v>
      </c>
      <c r="BK103" s="11">
        <v>1</v>
      </c>
      <c r="BL103" s="11">
        <v>2</v>
      </c>
      <c r="BM103" s="11">
        <v>3</v>
      </c>
      <c r="BN103" s="11">
        <v>3</v>
      </c>
      <c r="BO103" s="11">
        <v>4</v>
      </c>
      <c r="BP103" s="11">
        <v>4</v>
      </c>
      <c r="BQ103" s="11">
        <v>4</v>
      </c>
      <c r="BR103" s="11">
        <v>4</v>
      </c>
      <c r="BS103" s="11">
        <v>3</v>
      </c>
      <c r="BT103" s="11">
        <v>3</v>
      </c>
      <c r="BU103" s="11">
        <v>3</v>
      </c>
      <c r="BV103" s="11">
        <v>4</v>
      </c>
      <c r="BW103" s="11">
        <v>4</v>
      </c>
      <c r="BX103" s="11">
        <v>4</v>
      </c>
      <c r="BY103" s="11">
        <v>4</v>
      </c>
      <c r="BZ103" s="11">
        <v>4</v>
      </c>
      <c r="CA103" s="11">
        <v>4</v>
      </c>
      <c r="CB103" s="11">
        <v>5</v>
      </c>
      <c r="CC103" s="11">
        <v>5</v>
      </c>
      <c r="CD103" s="11">
        <v>3</v>
      </c>
      <c r="CE103" s="9"/>
      <c r="CF103" s="3">
        <v>13</v>
      </c>
      <c r="CG103" s="3">
        <v>20</v>
      </c>
      <c r="CH103" s="3">
        <v>68</v>
      </c>
      <c r="CI103" s="6">
        <f>COUNTIF(AG103:BB103, "Dispone")/22</f>
        <v>0.59090909090909094</v>
      </c>
      <c r="CJ103" s="7">
        <f>AVERAGE(BC103:BL103)</f>
        <v>2</v>
      </c>
      <c r="CK103" s="15">
        <f>AVERAGE(BM103:CD103)</f>
        <v>3.7777777777777777</v>
      </c>
      <c r="CL103" s="9" t="str">
        <f>IF(AND(CI103&gt;50%, CJ103&gt;2.5, CK103&gt;2.5), "Compromiso", "")</f>
        <v/>
      </c>
      <c r="CM103" s="9" t="str">
        <f>IF(AND(CI103&gt;75%, CJ103&gt;4, CK103&gt;4), "Liderazgo", "")</f>
        <v/>
      </c>
      <c r="CN103" s="9" t="str">
        <f>IF(AND(CI103&gt;90%, CJ103&gt;4.5, CK103&gt;4.5), "Transformación", "")</f>
        <v/>
      </c>
      <c r="CO103" s="9" t="s">
        <v>581</v>
      </c>
      <c r="CP103" s="9" t="s">
        <v>95</v>
      </c>
    </row>
    <row r="104" spans="1:155" ht="17.25" customHeight="1" x14ac:dyDescent="0.25">
      <c r="A104" s="10">
        <v>45962.089583333334</v>
      </c>
      <c r="B104" s="10">
        <v>45962.104861111111</v>
      </c>
      <c r="C104" s="3" t="s">
        <v>96</v>
      </c>
      <c r="D104" s="3" t="s">
        <v>247</v>
      </c>
      <c r="E104" s="3">
        <v>1336</v>
      </c>
      <c r="F104" s="3" t="b">
        <v>1</v>
      </c>
      <c r="G104" s="10">
        <v>45962.104861111111</v>
      </c>
      <c r="H104" s="3" t="s">
        <v>248</v>
      </c>
      <c r="I104" s="3">
        <v>19.653700000000001</v>
      </c>
      <c r="J104" s="3">
        <v>-99.219300000000004</v>
      </c>
      <c r="K104" s="3" t="s">
        <v>98</v>
      </c>
      <c r="L104" s="3" t="s">
        <v>249</v>
      </c>
      <c r="M104" s="3" t="s">
        <v>250</v>
      </c>
      <c r="N104" s="3" t="s">
        <v>251</v>
      </c>
      <c r="O104" s="3" t="s">
        <v>936</v>
      </c>
      <c r="Q104" s="3" t="s">
        <v>130</v>
      </c>
      <c r="R104" s="3">
        <v>1997</v>
      </c>
      <c r="S104" s="3">
        <v>1565</v>
      </c>
      <c r="T104" s="3">
        <v>14414</v>
      </c>
      <c r="U104" s="3">
        <v>147</v>
      </c>
      <c r="V104" s="3">
        <v>220</v>
      </c>
      <c r="W104" s="3" t="s">
        <v>118</v>
      </c>
      <c r="X104" s="3">
        <v>9.1999999999999993</v>
      </c>
      <c r="Y104" s="3" t="s">
        <v>92</v>
      </c>
      <c r="Z104" s="3">
        <v>51</v>
      </c>
      <c r="AA104" s="3">
        <v>9930768</v>
      </c>
      <c r="AB104" s="3">
        <v>2792</v>
      </c>
      <c r="AC104" s="3">
        <v>0</v>
      </c>
      <c r="AD104" s="3">
        <v>34568</v>
      </c>
      <c r="AE104" s="3">
        <v>33</v>
      </c>
      <c r="AF104" s="3">
        <v>493918</v>
      </c>
      <c r="AG104" s="3" t="s">
        <v>94</v>
      </c>
      <c r="AH104" s="3" t="s">
        <v>93</v>
      </c>
      <c r="AI104" s="3" t="s">
        <v>93</v>
      </c>
      <c r="AJ104" s="3" t="s">
        <v>93</v>
      </c>
      <c r="AK104" s="3" t="s">
        <v>93</v>
      </c>
      <c r="AL104" s="3" t="s">
        <v>93</v>
      </c>
      <c r="AM104" s="3" t="s">
        <v>93</v>
      </c>
      <c r="AN104" s="3" t="s">
        <v>93</v>
      </c>
      <c r="AO104" s="3" t="s">
        <v>93</v>
      </c>
      <c r="AP104" s="3" t="s">
        <v>93</v>
      </c>
      <c r="AQ104" s="3" t="s">
        <v>94</v>
      </c>
      <c r="AR104" s="3" t="s">
        <v>93</v>
      </c>
      <c r="AS104" s="3" t="s">
        <v>93</v>
      </c>
      <c r="AT104" s="3" t="s">
        <v>93</v>
      </c>
      <c r="AU104" s="3" t="s">
        <v>93</v>
      </c>
      <c r="AV104" s="3" t="s">
        <v>93</v>
      </c>
      <c r="AW104" s="3" t="s">
        <v>93</v>
      </c>
      <c r="AX104" s="3" t="s">
        <v>94</v>
      </c>
      <c r="AY104" s="3" t="s">
        <v>93</v>
      </c>
      <c r="AZ104" s="3" t="s">
        <v>94</v>
      </c>
      <c r="BA104" s="3" t="s">
        <v>93</v>
      </c>
      <c r="BB104" s="3" t="s">
        <v>93</v>
      </c>
      <c r="BC104" s="3">
        <v>3</v>
      </c>
      <c r="BD104" s="3">
        <v>5</v>
      </c>
      <c r="BE104" s="3">
        <v>5</v>
      </c>
      <c r="BF104" s="3">
        <v>2</v>
      </c>
      <c r="BG104" s="3">
        <v>2</v>
      </c>
      <c r="BH104" s="3">
        <v>5</v>
      </c>
      <c r="BI104" s="3">
        <v>3</v>
      </c>
      <c r="BJ104" s="3">
        <v>5</v>
      </c>
      <c r="BK104" s="3">
        <v>2</v>
      </c>
      <c r="BL104" s="3">
        <v>3</v>
      </c>
      <c r="BM104" s="3">
        <v>4</v>
      </c>
      <c r="BN104" s="3">
        <v>5</v>
      </c>
      <c r="BO104" s="3">
        <v>5</v>
      </c>
      <c r="BP104" s="3">
        <v>4</v>
      </c>
      <c r="BQ104" s="3">
        <v>5</v>
      </c>
      <c r="BR104" s="3">
        <v>5</v>
      </c>
      <c r="BS104" s="3">
        <v>3</v>
      </c>
      <c r="BT104" s="3">
        <v>2</v>
      </c>
      <c r="BU104" s="3">
        <v>2</v>
      </c>
      <c r="BV104" s="3">
        <v>5</v>
      </c>
      <c r="BW104" s="3">
        <v>5</v>
      </c>
      <c r="BX104" s="3">
        <v>5</v>
      </c>
      <c r="BY104" s="3">
        <v>5</v>
      </c>
      <c r="BZ104" s="3">
        <v>5</v>
      </c>
      <c r="CA104" s="3">
        <v>5</v>
      </c>
      <c r="CB104" s="3">
        <v>5</v>
      </c>
      <c r="CC104" s="3">
        <v>5</v>
      </c>
      <c r="CD104" s="3">
        <v>5</v>
      </c>
      <c r="CE104" s="3" t="s">
        <v>252</v>
      </c>
      <c r="CF104" s="3">
        <v>18</v>
      </c>
      <c r="CG104" s="3">
        <v>35</v>
      </c>
      <c r="CH104" s="3">
        <v>80</v>
      </c>
      <c r="CI104" s="6">
        <f>COUNTIF(AG104:BB104, "Dispone")/22</f>
        <v>0.81818181818181823</v>
      </c>
      <c r="CJ104" s="7">
        <f>AVERAGE(BC104:BL104)</f>
        <v>3.5</v>
      </c>
      <c r="CK104" s="15">
        <f>AVERAGE(BM104:CD104)</f>
        <v>4.4444444444444446</v>
      </c>
      <c r="CL104" s="9" t="str">
        <f>IF(AND(CI104&gt;50%, CJ104&gt;2.5, CK104&gt;2.5), "Compromiso", "")</f>
        <v>Compromiso</v>
      </c>
      <c r="CM104" s="9" t="str">
        <f>IF(AND(CI104&gt;75%, CJ104&gt;4, CK104&gt;4), "Liderazgo", "")</f>
        <v/>
      </c>
      <c r="CN104" s="9" t="str">
        <f>IF(AND(CI104&gt;90%, CJ104&gt;4.5, CK104&gt;4.5), "Transformación", "")</f>
        <v/>
      </c>
      <c r="CO104" s="9" t="s">
        <v>95</v>
      </c>
      <c r="CP104" s="9" t="s">
        <v>95</v>
      </c>
    </row>
    <row r="105" spans="1:155" ht="17.25" customHeight="1" x14ac:dyDescent="0.25">
      <c r="A105" s="10">
        <v>45962.206944444442</v>
      </c>
      <c r="B105" s="10">
        <v>45962.22152777778</v>
      </c>
      <c r="C105" s="3" t="s">
        <v>96</v>
      </c>
      <c r="D105" s="3" t="s">
        <v>435</v>
      </c>
      <c r="E105" s="3">
        <v>1256</v>
      </c>
      <c r="F105" s="3" t="b">
        <v>1</v>
      </c>
      <c r="G105" s="10">
        <v>45962.22152777778</v>
      </c>
      <c r="H105" s="3" t="s">
        <v>436</v>
      </c>
      <c r="I105" s="3">
        <v>20.628799999999998</v>
      </c>
      <c r="J105" s="3">
        <v>-100.483</v>
      </c>
      <c r="K105" s="3" t="s">
        <v>98</v>
      </c>
      <c r="L105" s="3" t="s">
        <v>437</v>
      </c>
      <c r="M105" s="3" t="s">
        <v>438</v>
      </c>
      <c r="N105" s="3" t="s">
        <v>439</v>
      </c>
      <c r="O105" s="3" t="s">
        <v>969</v>
      </c>
      <c r="P105" s="3">
        <v>523313682200</v>
      </c>
      <c r="Q105" s="3" t="s">
        <v>144</v>
      </c>
      <c r="R105" s="3">
        <v>1966</v>
      </c>
      <c r="S105" s="3">
        <v>4.4770000000000003</v>
      </c>
      <c r="T105" s="3">
        <v>18.78</v>
      </c>
      <c r="U105" s="3">
        <v>1.0229999999999999</v>
      </c>
      <c r="V105" s="3">
        <v>738</v>
      </c>
      <c r="W105" s="3" t="s">
        <v>91</v>
      </c>
      <c r="X105" s="3">
        <v>4.5</v>
      </c>
      <c r="Y105" s="3" t="s">
        <v>92</v>
      </c>
      <c r="Z105" s="3">
        <v>57</v>
      </c>
      <c r="AA105" s="3">
        <v>1542714</v>
      </c>
      <c r="AB105" s="3">
        <v>462</v>
      </c>
      <c r="AC105" s="3">
        <v>17</v>
      </c>
      <c r="AD105" s="3">
        <v>7885</v>
      </c>
      <c r="AE105" s="3">
        <v>65</v>
      </c>
      <c r="AF105" s="3">
        <v>6481</v>
      </c>
      <c r="AG105" s="3" t="s">
        <v>93</v>
      </c>
      <c r="AH105" s="3" t="s">
        <v>93</v>
      </c>
      <c r="AI105" s="3" t="s">
        <v>93</v>
      </c>
      <c r="AJ105" s="3" t="s">
        <v>93</v>
      </c>
      <c r="AK105" s="3" t="s">
        <v>93</v>
      </c>
      <c r="AL105" s="3" t="s">
        <v>93</v>
      </c>
      <c r="AM105" s="3" t="s">
        <v>93</v>
      </c>
      <c r="AN105" s="3" t="s">
        <v>93</v>
      </c>
      <c r="AO105" s="3" t="s">
        <v>93</v>
      </c>
      <c r="AP105" s="3" t="s">
        <v>93</v>
      </c>
      <c r="AQ105" s="3" t="s">
        <v>93</v>
      </c>
      <c r="AR105" s="3" t="s">
        <v>93</v>
      </c>
      <c r="AS105" s="3" t="s">
        <v>93</v>
      </c>
      <c r="AT105" s="3" t="s">
        <v>93</v>
      </c>
      <c r="AU105" s="3" t="s">
        <v>93</v>
      </c>
      <c r="AV105" s="3" t="s">
        <v>93</v>
      </c>
      <c r="AW105" s="3" t="s">
        <v>93</v>
      </c>
      <c r="AX105" s="3" t="s">
        <v>93</v>
      </c>
      <c r="AY105" s="3" t="s">
        <v>94</v>
      </c>
      <c r="AZ105" s="3" t="s">
        <v>93</v>
      </c>
      <c r="BA105" s="3" t="s">
        <v>93</v>
      </c>
      <c r="BB105" s="3" t="s">
        <v>93</v>
      </c>
      <c r="BC105" s="3">
        <v>4</v>
      </c>
      <c r="BD105" s="3">
        <v>4</v>
      </c>
      <c r="BE105" s="3">
        <v>4</v>
      </c>
      <c r="BF105" s="3">
        <v>4</v>
      </c>
      <c r="BG105" s="3">
        <v>5</v>
      </c>
      <c r="BH105" s="3">
        <v>4</v>
      </c>
      <c r="BI105" s="3">
        <v>4</v>
      </c>
      <c r="BJ105" s="3">
        <v>5</v>
      </c>
      <c r="BK105" s="3">
        <v>3</v>
      </c>
      <c r="BL105" s="3">
        <v>4</v>
      </c>
      <c r="BM105" s="3">
        <v>5</v>
      </c>
      <c r="BN105" s="3">
        <v>5</v>
      </c>
      <c r="BO105" s="3">
        <v>5</v>
      </c>
      <c r="BP105" s="3">
        <v>5</v>
      </c>
      <c r="BQ105" s="3">
        <v>5</v>
      </c>
      <c r="BR105" s="3">
        <v>5</v>
      </c>
      <c r="BS105" s="3">
        <v>5</v>
      </c>
      <c r="BT105" s="3">
        <v>4</v>
      </c>
      <c r="BU105" s="3">
        <v>5</v>
      </c>
      <c r="BV105" s="3">
        <v>5</v>
      </c>
      <c r="BW105" s="3">
        <v>5</v>
      </c>
      <c r="BX105" s="3">
        <v>5</v>
      </c>
      <c r="BY105" s="3">
        <v>5</v>
      </c>
      <c r="BZ105" s="3">
        <v>5</v>
      </c>
      <c r="CA105" s="3">
        <v>5</v>
      </c>
      <c r="CB105" s="3">
        <v>5</v>
      </c>
      <c r="CC105" s="3">
        <v>5</v>
      </c>
      <c r="CD105" s="3">
        <v>5</v>
      </c>
      <c r="CE105" s="3" t="s">
        <v>440</v>
      </c>
      <c r="CF105" s="3">
        <v>21</v>
      </c>
      <c r="CG105" s="3">
        <v>41</v>
      </c>
      <c r="CH105" s="3">
        <v>89</v>
      </c>
      <c r="CI105" s="6">
        <f>COUNTIF(AG105:BB105, "Dispone")/22</f>
        <v>0.95454545454545459</v>
      </c>
      <c r="CJ105" s="7">
        <f>AVERAGE(BC105:BL105)</f>
        <v>4.0999999999999996</v>
      </c>
      <c r="CK105" s="8">
        <f>AVERAGE(BM105:CD105)</f>
        <v>4.9444444444444446</v>
      </c>
      <c r="CL105" s="9" t="str">
        <f>IF(AND(CI105&gt;50%, CJ105&gt;2.5, CK105&gt;2.5), "Compromiso", "")</f>
        <v>Compromiso</v>
      </c>
      <c r="CM105" s="9" t="str">
        <f>IF(AND(CI105&gt;75%, CJ105&gt;4, CK105&gt;4), "Liderazgo", "")</f>
        <v>Liderazgo</v>
      </c>
      <c r="CN105" s="9" t="str">
        <f>IF(AND(CI105&gt;90%, CJ105&gt;4.5, CK105&gt;4.5), "Transformación", "")</f>
        <v/>
      </c>
      <c r="CO105" s="9" t="s">
        <v>103</v>
      </c>
      <c r="CP105" s="9" t="s">
        <v>146</v>
      </c>
    </row>
    <row r="106" spans="1:155" ht="17.25" customHeight="1" x14ac:dyDescent="0.25">
      <c r="A106" s="12">
        <v>45954.199907407405</v>
      </c>
      <c r="B106" s="12">
        <v>45954.214259259257</v>
      </c>
      <c r="C106" s="9" t="s">
        <v>96</v>
      </c>
      <c r="D106" s="9" t="s">
        <v>709</v>
      </c>
      <c r="E106" s="13">
        <v>1240</v>
      </c>
      <c r="F106" s="9" t="s">
        <v>105</v>
      </c>
      <c r="G106" s="12">
        <v>45954.214270289354</v>
      </c>
      <c r="H106" s="9" t="s">
        <v>710</v>
      </c>
      <c r="I106" s="13">
        <v>4.4025999999999996</v>
      </c>
      <c r="J106" s="13">
        <v>-74.386600000000001</v>
      </c>
      <c r="K106" s="3" t="s">
        <v>113</v>
      </c>
      <c r="L106" s="9" t="s">
        <v>711</v>
      </c>
      <c r="M106" s="3" t="s">
        <v>712</v>
      </c>
      <c r="N106" s="9" t="s">
        <v>713</v>
      </c>
      <c r="O106" s="3" t="s">
        <v>970</v>
      </c>
      <c r="P106" s="9" t="s">
        <v>714</v>
      </c>
      <c r="Q106" s="9" t="s">
        <v>90</v>
      </c>
      <c r="R106" s="3">
        <v>2010</v>
      </c>
      <c r="S106" s="3">
        <v>2100</v>
      </c>
      <c r="T106" s="3">
        <v>25000</v>
      </c>
      <c r="U106" s="3">
        <v>3500</v>
      </c>
      <c r="V106" s="3">
        <v>500</v>
      </c>
      <c r="W106" s="9" t="s">
        <v>118</v>
      </c>
      <c r="X106" s="3">
        <v>0.1</v>
      </c>
      <c r="Y106" s="9" t="s">
        <v>92</v>
      </c>
      <c r="Z106" s="3">
        <v>30</v>
      </c>
      <c r="AA106" s="3">
        <v>6000000</v>
      </c>
      <c r="AB106" s="3">
        <v>0</v>
      </c>
      <c r="AC106" s="3">
        <v>10</v>
      </c>
      <c r="AD106" s="3">
        <v>200000</v>
      </c>
      <c r="AE106" s="3">
        <v>2</v>
      </c>
      <c r="AF106" s="3">
        <v>0</v>
      </c>
      <c r="AG106" s="9" t="s">
        <v>93</v>
      </c>
      <c r="AH106" s="9" t="s">
        <v>93</v>
      </c>
      <c r="AI106" s="9" t="s">
        <v>94</v>
      </c>
      <c r="AJ106" s="9" t="s">
        <v>93</v>
      </c>
      <c r="AK106" s="9" t="s">
        <v>93</v>
      </c>
      <c r="AL106" s="9" t="s">
        <v>93</v>
      </c>
      <c r="AM106" s="9" t="s">
        <v>93</v>
      </c>
      <c r="AN106" s="9" t="s">
        <v>94</v>
      </c>
      <c r="AO106" s="9" t="s">
        <v>94</v>
      </c>
      <c r="AP106" s="9" t="s">
        <v>93</v>
      </c>
      <c r="AQ106" s="9" t="s">
        <v>93</v>
      </c>
      <c r="AR106" s="9" t="s">
        <v>93</v>
      </c>
      <c r="AS106" s="9" t="s">
        <v>93</v>
      </c>
      <c r="AT106" s="9" t="s">
        <v>94</v>
      </c>
      <c r="AU106" s="9" t="s">
        <v>93</v>
      </c>
      <c r="AV106" s="9" t="s">
        <v>93</v>
      </c>
      <c r="AW106" s="9" t="s">
        <v>94</v>
      </c>
      <c r="AX106" s="9" t="s">
        <v>94</v>
      </c>
      <c r="AY106" s="9" t="s">
        <v>94</v>
      </c>
      <c r="AZ106" s="9" t="s">
        <v>94</v>
      </c>
      <c r="BA106" s="9" t="s">
        <v>93</v>
      </c>
      <c r="BB106" s="9" t="s">
        <v>93</v>
      </c>
      <c r="BC106" s="11">
        <v>5</v>
      </c>
      <c r="BD106" s="11">
        <v>4</v>
      </c>
      <c r="BE106" s="11">
        <v>1</v>
      </c>
      <c r="BF106" s="11">
        <v>2</v>
      </c>
      <c r="BG106" s="11">
        <v>2</v>
      </c>
      <c r="BH106" s="11">
        <v>2</v>
      </c>
      <c r="BI106" s="11">
        <v>2</v>
      </c>
      <c r="BJ106" s="11">
        <v>2</v>
      </c>
      <c r="BK106" s="11">
        <v>2</v>
      </c>
      <c r="BL106" s="11">
        <v>2</v>
      </c>
      <c r="BM106" s="11">
        <v>5</v>
      </c>
      <c r="BN106" s="11">
        <v>2</v>
      </c>
      <c r="BO106" s="11">
        <v>4</v>
      </c>
      <c r="BP106" s="11">
        <v>2</v>
      </c>
      <c r="BQ106" s="11">
        <v>1</v>
      </c>
      <c r="BR106" s="11">
        <v>3</v>
      </c>
      <c r="BS106" s="11">
        <v>3</v>
      </c>
      <c r="BT106" s="11">
        <v>2</v>
      </c>
      <c r="BU106" s="11">
        <v>3</v>
      </c>
      <c r="BV106" s="11">
        <v>2</v>
      </c>
      <c r="BW106" s="11">
        <v>4</v>
      </c>
      <c r="BX106" s="11">
        <v>2</v>
      </c>
      <c r="BY106" s="11">
        <v>5</v>
      </c>
      <c r="BZ106" s="11">
        <v>5</v>
      </c>
      <c r="CA106" s="11">
        <v>5</v>
      </c>
      <c r="CB106" s="11">
        <v>5</v>
      </c>
      <c r="CC106" s="11">
        <v>5</v>
      </c>
      <c r="CD106" s="11">
        <v>2</v>
      </c>
      <c r="CE106" s="9"/>
      <c r="CF106" s="3">
        <v>14</v>
      </c>
      <c r="CG106" s="3">
        <v>24</v>
      </c>
      <c r="CH106" s="3">
        <v>60</v>
      </c>
      <c r="CI106" s="6">
        <f>COUNTIF(AG106:BB106, "Dispone")/22</f>
        <v>0.63636363636363635</v>
      </c>
      <c r="CJ106" s="7">
        <f>AVERAGE(BC106:BL106)</f>
        <v>2.4</v>
      </c>
      <c r="CK106" s="15">
        <f>AVERAGE(BM106:CD106)</f>
        <v>3.3333333333333335</v>
      </c>
      <c r="CL106" s="9" t="str">
        <f>IF(AND(CI106&gt;50%, CJ106&gt;2.5, CK106&gt;2.5), "Compromiso", "")</f>
        <v/>
      </c>
      <c r="CM106" s="9" t="str">
        <f>IF(AND(CI106&gt;75%, CJ106&gt;4, CK106&gt;4), "Liderazgo", "")</f>
        <v/>
      </c>
      <c r="CN106" s="9" t="str">
        <f>IF(AND(CI106&gt;90%, CJ106&gt;4.5, CK106&gt;4.5), "Transformación", "")</f>
        <v/>
      </c>
      <c r="CO106" s="9" t="s">
        <v>581</v>
      </c>
      <c r="CP106" s="9" t="s">
        <v>132</v>
      </c>
    </row>
    <row r="107" spans="1:155" ht="17.25" customHeight="1" x14ac:dyDescent="0.25">
      <c r="A107" s="16">
        <v>45961.921527777777</v>
      </c>
      <c r="B107" s="16">
        <v>45961.93472222222</v>
      </c>
      <c r="C107" s="3" t="s">
        <v>96</v>
      </c>
      <c r="D107" s="11">
        <v>187213211130</v>
      </c>
      <c r="E107" s="3">
        <v>1177</v>
      </c>
      <c r="F107" s="3" t="b">
        <v>1</v>
      </c>
      <c r="G107" s="16">
        <v>45961.93472222222</v>
      </c>
      <c r="H107" s="3" t="s">
        <v>426</v>
      </c>
      <c r="I107" s="3">
        <v>20.791</v>
      </c>
      <c r="J107" s="3">
        <v>-103.49</v>
      </c>
      <c r="K107" s="3" t="s">
        <v>98</v>
      </c>
      <c r="L107" s="3" t="s">
        <v>427</v>
      </c>
      <c r="M107" s="3" t="s">
        <v>107</v>
      </c>
      <c r="O107" s="3" t="s">
        <v>960</v>
      </c>
      <c r="Q107" s="3" t="s">
        <v>130</v>
      </c>
      <c r="AG107" s="3" t="s">
        <v>94</v>
      </c>
      <c r="AH107" s="3" t="s">
        <v>93</v>
      </c>
      <c r="AJ107" s="3" t="s">
        <v>93</v>
      </c>
      <c r="AK107" s="3" t="s">
        <v>93</v>
      </c>
      <c r="AL107" s="3" t="s">
        <v>93</v>
      </c>
      <c r="AM107" s="3" t="s">
        <v>93</v>
      </c>
      <c r="AN107" s="3" t="s">
        <v>93</v>
      </c>
      <c r="AO107" s="3" t="s">
        <v>93</v>
      </c>
      <c r="AP107" s="3" t="s">
        <v>93</v>
      </c>
      <c r="AQ107" s="3" t="s">
        <v>93</v>
      </c>
      <c r="AR107" s="3" t="s">
        <v>93</v>
      </c>
      <c r="AS107" s="3" t="s">
        <v>93</v>
      </c>
      <c r="AT107" s="3" t="s">
        <v>93</v>
      </c>
      <c r="AU107" s="3" t="s">
        <v>93</v>
      </c>
      <c r="AV107" s="3" t="s">
        <v>93</v>
      </c>
      <c r="AW107" s="3" t="s">
        <v>93</v>
      </c>
      <c r="AX107" s="3" t="s">
        <v>94</v>
      </c>
      <c r="AY107" s="3" t="s">
        <v>93</v>
      </c>
      <c r="AZ107" s="3" t="s">
        <v>93</v>
      </c>
      <c r="BA107" s="3" t="s">
        <v>93</v>
      </c>
      <c r="BB107" s="3" t="s">
        <v>93</v>
      </c>
      <c r="BC107" s="3">
        <v>3</v>
      </c>
      <c r="BD107" s="3">
        <v>3</v>
      </c>
      <c r="BE107" s="3">
        <v>3</v>
      </c>
      <c r="BF107" s="3">
        <v>3</v>
      </c>
      <c r="BG107" s="3">
        <v>3</v>
      </c>
      <c r="BH107" s="3">
        <v>5</v>
      </c>
      <c r="BI107" s="3">
        <v>2</v>
      </c>
      <c r="BJ107" s="3">
        <v>2</v>
      </c>
      <c r="BK107" s="3">
        <v>3</v>
      </c>
      <c r="BL107" s="3">
        <v>5</v>
      </c>
      <c r="BM107" s="3">
        <v>2</v>
      </c>
      <c r="BN107" s="3">
        <v>3</v>
      </c>
      <c r="BO107" s="3">
        <v>2</v>
      </c>
      <c r="BP107" s="3">
        <v>3</v>
      </c>
      <c r="BQ107" s="3">
        <v>4</v>
      </c>
      <c r="BR107" s="3">
        <v>3</v>
      </c>
      <c r="BS107" s="3">
        <v>3</v>
      </c>
      <c r="BT107" s="3">
        <v>2</v>
      </c>
      <c r="BU107" s="3">
        <v>3</v>
      </c>
      <c r="BV107" s="3">
        <v>4</v>
      </c>
      <c r="BW107" s="3">
        <v>3</v>
      </c>
      <c r="BX107" s="3">
        <v>4</v>
      </c>
      <c r="BY107" s="3">
        <v>4</v>
      </c>
      <c r="BZ107" s="3">
        <v>4</v>
      </c>
      <c r="CA107" s="3">
        <v>3</v>
      </c>
      <c r="CB107" s="3">
        <v>3</v>
      </c>
      <c r="CC107" s="3">
        <v>4</v>
      </c>
      <c r="CD107" s="3">
        <v>2</v>
      </c>
      <c r="CF107" s="3">
        <f>COUNTIF(AG107:BB107, "Dispone")</f>
        <v>19</v>
      </c>
      <c r="CG107" s="3">
        <v>32</v>
      </c>
      <c r="CH107" s="3">
        <f>SUM(BM107:CD107)</f>
        <v>56</v>
      </c>
      <c r="CI107" s="6">
        <f>COUNTIF(AG107:BB107, "Dispone")/22</f>
        <v>0.86363636363636365</v>
      </c>
      <c r="CJ107" s="7">
        <f>AVERAGE(BC107:BL107)</f>
        <v>3.2</v>
      </c>
      <c r="CK107" s="8">
        <f>AVERAGE(BM107:CD107)</f>
        <v>3.1111111111111112</v>
      </c>
      <c r="CL107" s="9" t="str">
        <f>IF(AND(CI107&gt;50%, CJ107&gt;2.5, CK107&gt;2.5), "Compromiso", "")</f>
        <v>Compromiso</v>
      </c>
      <c r="CM107" s="9" t="str">
        <f>IF(AND(CI107&gt;75%, CJ107&gt;4, CK107&gt;4), "Liderazgo", "")</f>
        <v/>
      </c>
      <c r="CN107" s="9" t="str">
        <f>IF(AND(CI107&gt;90%, CJ107&gt;4.5, CK107&gt;4.5), "Transformación", "")</f>
        <v/>
      </c>
      <c r="CO107" s="9" t="s">
        <v>95</v>
      </c>
      <c r="CP107" s="9" t="s">
        <v>103</v>
      </c>
    </row>
    <row r="108" spans="1:155" ht="17.25" customHeight="1" x14ac:dyDescent="0.25">
      <c r="A108" s="16">
        <v>45989.498611111114</v>
      </c>
      <c r="B108" s="16">
        <v>45989.511805555558</v>
      </c>
      <c r="C108" s="3" t="s">
        <v>96</v>
      </c>
      <c r="D108" s="3" t="s">
        <v>522</v>
      </c>
      <c r="E108" s="3">
        <v>1150</v>
      </c>
      <c r="F108" s="3" t="b">
        <v>1</v>
      </c>
      <c r="G108" s="16">
        <v>45989.511805555558</v>
      </c>
      <c r="H108" s="3" t="s">
        <v>523</v>
      </c>
      <c r="I108" s="3">
        <v>-25.502600000000001</v>
      </c>
      <c r="J108" s="3">
        <v>-49.290799999999997</v>
      </c>
      <c r="K108" s="3" t="s">
        <v>113</v>
      </c>
      <c r="L108" s="3" t="s">
        <v>524</v>
      </c>
      <c r="M108" s="3" t="s">
        <v>525</v>
      </c>
      <c r="N108" s="3" t="s">
        <v>526</v>
      </c>
      <c r="O108" s="3" t="s">
        <v>971</v>
      </c>
      <c r="Q108" s="3" t="s">
        <v>90</v>
      </c>
      <c r="R108" s="3">
        <v>1973</v>
      </c>
      <c r="S108" s="3">
        <v>700</v>
      </c>
      <c r="T108" s="3">
        <v>6500</v>
      </c>
      <c r="U108" s="3">
        <v>0</v>
      </c>
      <c r="V108" s="3">
        <v>0</v>
      </c>
      <c r="W108" s="3" t="s">
        <v>91</v>
      </c>
      <c r="X108" s="3">
        <v>0</v>
      </c>
      <c r="Y108" s="3" t="s">
        <v>92</v>
      </c>
      <c r="Z108" s="3">
        <v>15</v>
      </c>
      <c r="AA108" s="3">
        <v>920</v>
      </c>
      <c r="AB108" s="3">
        <v>278</v>
      </c>
      <c r="AC108" s="3">
        <v>20</v>
      </c>
      <c r="AD108" s="3">
        <v>13823</v>
      </c>
      <c r="AE108" s="3">
        <v>40</v>
      </c>
      <c r="AF108" s="3">
        <v>130000</v>
      </c>
      <c r="AG108" s="3" t="s">
        <v>94</v>
      </c>
      <c r="AH108" s="3" t="s">
        <v>93</v>
      </c>
      <c r="AI108" s="3" t="s">
        <v>93</v>
      </c>
      <c r="AJ108" s="3" t="s">
        <v>93</v>
      </c>
      <c r="AK108" s="3" t="s">
        <v>93</v>
      </c>
      <c r="AL108" s="3" t="s">
        <v>94</v>
      </c>
      <c r="AM108" s="3" t="s">
        <v>93</v>
      </c>
      <c r="AN108" s="3" t="s">
        <v>93</v>
      </c>
      <c r="AO108" s="3" t="s">
        <v>93</v>
      </c>
      <c r="AP108" s="3" t="s">
        <v>94</v>
      </c>
      <c r="AQ108" s="3" t="s">
        <v>93</v>
      </c>
      <c r="AR108" s="3" t="s">
        <v>94</v>
      </c>
      <c r="AS108" s="3" t="s">
        <v>93</v>
      </c>
      <c r="AT108" s="3" t="s">
        <v>93</v>
      </c>
      <c r="AU108" s="3" t="s">
        <v>93</v>
      </c>
      <c r="AV108" s="3" t="s">
        <v>93</v>
      </c>
      <c r="AW108" s="3" t="s">
        <v>93</v>
      </c>
      <c r="AX108" s="3" t="s">
        <v>93</v>
      </c>
      <c r="AY108" s="3" t="s">
        <v>93</v>
      </c>
      <c r="AZ108" s="3" t="s">
        <v>93</v>
      </c>
      <c r="BA108" s="3" t="s">
        <v>93</v>
      </c>
      <c r="BB108" s="3" t="s">
        <v>93</v>
      </c>
      <c r="BC108" s="3">
        <v>5</v>
      </c>
      <c r="BD108" s="3">
        <v>5</v>
      </c>
      <c r="BE108" s="3">
        <v>5</v>
      </c>
      <c r="BF108" s="3">
        <v>4</v>
      </c>
      <c r="BG108" s="3">
        <v>5</v>
      </c>
      <c r="BH108" s="3">
        <v>5</v>
      </c>
      <c r="BI108" s="3">
        <v>4</v>
      </c>
      <c r="BJ108" s="3">
        <v>5</v>
      </c>
      <c r="BK108" s="3">
        <v>3</v>
      </c>
      <c r="BL108" s="3">
        <v>1</v>
      </c>
      <c r="BM108" s="3">
        <v>5</v>
      </c>
      <c r="BN108" s="3">
        <v>5</v>
      </c>
      <c r="BO108" s="3">
        <v>2</v>
      </c>
      <c r="BP108" s="3">
        <v>3</v>
      </c>
      <c r="BQ108" s="3">
        <v>4</v>
      </c>
      <c r="BR108" s="3">
        <v>4</v>
      </c>
      <c r="BS108" s="3">
        <v>5</v>
      </c>
      <c r="BT108" s="3">
        <v>3</v>
      </c>
      <c r="BU108" s="3">
        <v>5</v>
      </c>
      <c r="BV108" s="3">
        <v>5</v>
      </c>
      <c r="BW108" s="3">
        <v>5</v>
      </c>
      <c r="BX108" s="3">
        <v>4</v>
      </c>
      <c r="BY108" s="3">
        <v>4</v>
      </c>
      <c r="BZ108" s="3">
        <v>5</v>
      </c>
      <c r="CA108" s="3">
        <v>5</v>
      </c>
      <c r="CB108" s="3">
        <v>5</v>
      </c>
      <c r="CC108" s="3">
        <v>5</v>
      </c>
      <c r="CD108" s="3">
        <v>5</v>
      </c>
      <c r="CF108" s="3">
        <v>18</v>
      </c>
      <c r="CG108" s="3">
        <v>42</v>
      </c>
      <c r="CH108" s="3">
        <v>79</v>
      </c>
      <c r="CI108" s="6">
        <f>COUNTIF(AG108:BB108, "Dispone")/22</f>
        <v>0.81818181818181823</v>
      </c>
      <c r="CJ108" s="7">
        <f>AVERAGE(BC108:BL108)</f>
        <v>4.2</v>
      </c>
      <c r="CK108" s="15">
        <f>AVERAGE(BM108:CD108)</f>
        <v>4.3888888888888893</v>
      </c>
      <c r="CL108" s="9" t="str">
        <f>IF(AND(CI108&gt;50%, CJ108&gt;2.5, CK108&gt;2.5), "Compromiso", "")</f>
        <v>Compromiso</v>
      </c>
      <c r="CM108" s="9" t="str">
        <f>IF(AND(CI108&gt;75%, CJ108&gt;4, CK108&gt;4), "Liderazgo", "")</f>
        <v>Liderazgo</v>
      </c>
      <c r="CN108" s="9" t="str">
        <f>IF(AND(CI108&gt;90%, CJ108&gt;4.5, CK108&gt;4.5), "Transformación", "")</f>
        <v/>
      </c>
      <c r="CO108" s="9" t="s">
        <v>103</v>
      </c>
      <c r="CP108" s="9" t="s">
        <v>132</v>
      </c>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row>
    <row r="109" spans="1:155" ht="17.25" customHeight="1" x14ac:dyDescent="0.25">
      <c r="A109" s="12">
        <v>45950.893275462964</v>
      </c>
      <c r="B109" s="12">
        <v>45950.906504629631</v>
      </c>
      <c r="C109" s="9" t="s">
        <v>96</v>
      </c>
      <c r="D109" s="9" t="s">
        <v>648</v>
      </c>
      <c r="E109" s="13">
        <v>1143</v>
      </c>
      <c r="F109" s="9" t="s">
        <v>105</v>
      </c>
      <c r="G109" s="12">
        <v>45950.906517835647</v>
      </c>
      <c r="H109" s="9" t="s">
        <v>649</v>
      </c>
      <c r="I109" s="13">
        <v>-26.815999999999999</v>
      </c>
      <c r="J109" s="13">
        <v>-65.215400000000002</v>
      </c>
      <c r="K109" s="9" t="s">
        <v>98</v>
      </c>
      <c r="L109" s="9" t="s">
        <v>650</v>
      </c>
      <c r="M109" s="3" t="s">
        <v>651</v>
      </c>
      <c r="N109" s="9" t="s">
        <v>652</v>
      </c>
      <c r="O109" s="3" t="s">
        <v>972</v>
      </c>
      <c r="P109" s="9" t="s">
        <v>653</v>
      </c>
      <c r="Q109" s="9" t="s">
        <v>102</v>
      </c>
      <c r="R109" s="3">
        <v>1964</v>
      </c>
      <c r="S109" s="3">
        <v>1485</v>
      </c>
      <c r="T109" s="3">
        <v>7560</v>
      </c>
      <c r="U109" s="3">
        <v>3330</v>
      </c>
      <c r="V109" s="3">
        <v>585</v>
      </c>
      <c r="W109" s="9" t="s">
        <v>91</v>
      </c>
      <c r="X109" s="3">
        <v>0.7</v>
      </c>
      <c r="Y109" s="9" t="s">
        <v>92</v>
      </c>
      <c r="Z109" s="3">
        <v>4</v>
      </c>
      <c r="AA109" s="3">
        <v>1893653</v>
      </c>
      <c r="AB109" s="3">
        <v>432</v>
      </c>
      <c r="AC109" s="3">
        <v>42</v>
      </c>
      <c r="AD109" s="3">
        <v>74103</v>
      </c>
      <c r="AE109" s="3">
        <v>65</v>
      </c>
      <c r="AF109" s="3">
        <v>83418</v>
      </c>
      <c r="AG109" s="9" t="s">
        <v>93</v>
      </c>
      <c r="AH109" s="9" t="s">
        <v>93</v>
      </c>
      <c r="AI109" s="9" t="s">
        <v>93</v>
      </c>
      <c r="AJ109" s="9" t="s">
        <v>93</v>
      </c>
      <c r="AK109" s="9" t="s">
        <v>93</v>
      </c>
      <c r="AL109" s="9" t="s">
        <v>93</v>
      </c>
      <c r="AM109" s="9" t="s">
        <v>94</v>
      </c>
      <c r="AN109" s="9" t="s">
        <v>93</v>
      </c>
      <c r="AO109" s="9" t="s">
        <v>94</v>
      </c>
      <c r="AP109" s="9" t="s">
        <v>93</v>
      </c>
      <c r="AQ109" s="9" t="s">
        <v>93</v>
      </c>
      <c r="AR109" s="9" t="s">
        <v>94</v>
      </c>
      <c r="AS109" s="9" t="s">
        <v>93</v>
      </c>
      <c r="AT109" s="9" t="s">
        <v>94</v>
      </c>
      <c r="AU109" s="9" t="s">
        <v>93</v>
      </c>
      <c r="AV109" s="9" t="s">
        <v>93</v>
      </c>
      <c r="AW109" s="9" t="s">
        <v>93</v>
      </c>
      <c r="AX109" s="9" t="s">
        <v>94</v>
      </c>
      <c r="AY109" s="9" t="s">
        <v>94</v>
      </c>
      <c r="AZ109" s="9" t="s">
        <v>93</v>
      </c>
      <c r="BA109" s="9" t="s">
        <v>93</v>
      </c>
      <c r="BB109" s="9" t="s">
        <v>94</v>
      </c>
      <c r="BC109" s="11">
        <v>2</v>
      </c>
      <c r="BD109" s="11">
        <v>2</v>
      </c>
      <c r="BE109" s="11">
        <v>1</v>
      </c>
      <c r="BF109" s="11">
        <v>4</v>
      </c>
      <c r="BG109" s="11">
        <v>2</v>
      </c>
      <c r="BH109" s="11">
        <v>4</v>
      </c>
      <c r="BI109" s="11">
        <v>2</v>
      </c>
      <c r="BJ109" s="11">
        <v>2</v>
      </c>
      <c r="BK109" s="11">
        <v>1</v>
      </c>
      <c r="BL109" s="11">
        <v>3</v>
      </c>
      <c r="BM109" s="11">
        <v>5</v>
      </c>
      <c r="BN109" s="11">
        <v>5</v>
      </c>
      <c r="BO109" s="11">
        <v>4</v>
      </c>
      <c r="BP109" s="11">
        <v>4</v>
      </c>
      <c r="BQ109" s="11">
        <v>2</v>
      </c>
      <c r="BR109" s="11">
        <v>5</v>
      </c>
      <c r="BS109" s="11">
        <v>4</v>
      </c>
      <c r="BT109" s="11">
        <v>2</v>
      </c>
      <c r="BU109" s="11">
        <v>5</v>
      </c>
      <c r="BV109" s="11">
        <v>4</v>
      </c>
      <c r="BW109" s="11">
        <v>2</v>
      </c>
      <c r="BX109" s="11">
        <v>2</v>
      </c>
      <c r="BY109" s="11">
        <v>4</v>
      </c>
      <c r="BZ109" s="11">
        <v>2</v>
      </c>
      <c r="CA109" s="11">
        <v>1</v>
      </c>
      <c r="CB109" s="11">
        <v>5</v>
      </c>
      <c r="CC109" s="11">
        <v>2</v>
      </c>
      <c r="CD109" s="11">
        <v>5</v>
      </c>
      <c r="CE109" s="9" t="s">
        <v>314</v>
      </c>
      <c r="CF109" s="3">
        <v>15</v>
      </c>
      <c r="CG109" s="3">
        <v>23</v>
      </c>
      <c r="CH109" s="3">
        <v>63</v>
      </c>
      <c r="CI109" s="6">
        <f>COUNTIF(AG109:BB109, "Dispone")/22</f>
        <v>0.68181818181818177</v>
      </c>
      <c r="CJ109" s="7">
        <f>AVERAGE(BC109:BL109)</f>
        <v>2.2999999999999998</v>
      </c>
      <c r="CK109" s="15">
        <f>AVERAGE(BM109:CD109)</f>
        <v>3.5</v>
      </c>
      <c r="CL109" s="9" t="str">
        <f>IF(AND(CI109&gt;50%, CJ109&gt;2.5, CK109&gt;2.5), "Compromiso", "")</f>
        <v/>
      </c>
      <c r="CM109" s="9" t="str">
        <f>IF(AND(CI109&gt;75%, CJ109&gt;4, CK109&gt;4), "Liderazgo", "")</f>
        <v/>
      </c>
      <c r="CN109" s="9" t="str">
        <f>IF(AND(CI109&gt;90%, CJ109&gt;4.5, CK109&gt;4.5), "Transformación", "")</f>
        <v/>
      </c>
      <c r="CO109" s="9" t="s">
        <v>581</v>
      </c>
      <c r="CP109" s="9" t="s">
        <v>132</v>
      </c>
    </row>
    <row r="110" spans="1:155" ht="17.25" customHeight="1" x14ac:dyDescent="0.25">
      <c r="A110" s="10">
        <v>45965.627083333333</v>
      </c>
      <c r="B110" s="10">
        <v>45965.640277777777</v>
      </c>
      <c r="C110" s="3" t="s">
        <v>96</v>
      </c>
      <c r="D110" s="3" t="s">
        <v>308</v>
      </c>
      <c r="E110" s="3">
        <v>1105</v>
      </c>
      <c r="F110" s="3" t="b">
        <v>1</v>
      </c>
      <c r="G110" s="10">
        <v>45965.640277777777</v>
      </c>
      <c r="H110" s="3" t="s">
        <v>309</v>
      </c>
      <c r="I110" s="3">
        <v>4.6351000000000004</v>
      </c>
      <c r="J110" s="3">
        <v>-74.070400000000006</v>
      </c>
      <c r="K110" s="3" t="s">
        <v>98</v>
      </c>
      <c r="L110" s="3" t="s">
        <v>310</v>
      </c>
      <c r="M110" s="3" t="s">
        <v>311</v>
      </c>
      <c r="N110" s="3" t="s">
        <v>312</v>
      </c>
      <c r="O110" s="3" t="s">
        <v>313</v>
      </c>
      <c r="P110" s="3">
        <v>3187077768</v>
      </c>
      <c r="Q110" s="3" t="s">
        <v>102</v>
      </c>
      <c r="R110" s="3">
        <v>1989</v>
      </c>
      <c r="S110" s="3">
        <v>5982</v>
      </c>
      <c r="T110" s="3">
        <v>33737</v>
      </c>
      <c r="U110" s="3">
        <v>22344</v>
      </c>
      <c r="V110" s="3">
        <v>42134</v>
      </c>
      <c r="W110" s="3" t="s">
        <v>91</v>
      </c>
      <c r="X110" s="3">
        <v>0</v>
      </c>
      <c r="Y110" s="3" t="s">
        <v>92</v>
      </c>
      <c r="Z110" s="3">
        <v>114</v>
      </c>
      <c r="AA110" s="3">
        <v>4492333</v>
      </c>
      <c r="AB110" s="3">
        <v>2713</v>
      </c>
      <c r="AC110" s="3">
        <v>30</v>
      </c>
      <c r="AD110" s="3">
        <v>106637</v>
      </c>
      <c r="AE110" s="3">
        <v>0</v>
      </c>
      <c r="AF110" s="3">
        <v>145000</v>
      </c>
      <c r="AG110" s="3" t="s">
        <v>94</v>
      </c>
      <c r="AH110" s="3" t="s">
        <v>93</v>
      </c>
      <c r="AI110" s="3" t="s">
        <v>94</v>
      </c>
      <c r="AJ110" s="3" t="s">
        <v>94</v>
      </c>
      <c r="AK110" s="3" t="s">
        <v>94</v>
      </c>
      <c r="AL110" s="3" t="s">
        <v>93</v>
      </c>
      <c r="AM110" s="3" t="s">
        <v>93</v>
      </c>
      <c r="AN110" s="3" t="s">
        <v>93</v>
      </c>
      <c r="AO110" s="3" t="s">
        <v>94</v>
      </c>
      <c r="AP110" s="3" t="s">
        <v>93</v>
      </c>
      <c r="AQ110" s="3" t="s">
        <v>94</v>
      </c>
      <c r="AR110" s="3" t="s">
        <v>93</v>
      </c>
      <c r="AS110" s="3" t="s">
        <v>93</v>
      </c>
      <c r="AT110" s="3" t="s">
        <v>93</v>
      </c>
      <c r="AU110" s="3" t="s">
        <v>93</v>
      </c>
      <c r="AV110" s="3" t="s">
        <v>93</v>
      </c>
      <c r="AW110" s="3" t="s">
        <v>93</v>
      </c>
      <c r="AX110" s="3" t="s">
        <v>94</v>
      </c>
      <c r="AY110" s="3" t="s">
        <v>94</v>
      </c>
      <c r="AZ110" s="3" t="s">
        <v>94</v>
      </c>
      <c r="BA110" s="3" t="s">
        <v>93</v>
      </c>
      <c r="BB110" s="3" t="s">
        <v>93</v>
      </c>
      <c r="BC110" s="3">
        <v>3</v>
      </c>
      <c r="BD110" s="3">
        <v>3</v>
      </c>
      <c r="BE110" s="3">
        <v>3</v>
      </c>
      <c r="BF110" s="3">
        <v>2</v>
      </c>
      <c r="BG110" s="3">
        <v>3</v>
      </c>
      <c r="BH110" s="3">
        <v>3</v>
      </c>
      <c r="BI110" s="3">
        <v>3</v>
      </c>
      <c r="BJ110" s="3">
        <v>3</v>
      </c>
      <c r="BK110" s="3">
        <v>2</v>
      </c>
      <c r="BL110" s="3">
        <v>2</v>
      </c>
      <c r="BM110" s="3">
        <v>3</v>
      </c>
      <c r="BN110" s="3">
        <v>3</v>
      </c>
      <c r="BO110" s="3">
        <v>4</v>
      </c>
      <c r="BP110" s="3">
        <v>4</v>
      </c>
      <c r="BQ110" s="3">
        <v>3</v>
      </c>
      <c r="BR110" s="3">
        <v>2</v>
      </c>
      <c r="BS110" s="3">
        <v>3</v>
      </c>
      <c r="BT110" s="3">
        <v>3</v>
      </c>
      <c r="BU110" s="3">
        <v>3</v>
      </c>
      <c r="BV110" s="3">
        <v>4</v>
      </c>
      <c r="BW110" s="3">
        <v>3</v>
      </c>
      <c r="BX110" s="3">
        <v>3</v>
      </c>
      <c r="BY110" s="3">
        <v>3</v>
      </c>
      <c r="BZ110" s="3">
        <v>3</v>
      </c>
      <c r="CA110" s="3">
        <v>3</v>
      </c>
      <c r="CB110" s="3">
        <v>4</v>
      </c>
      <c r="CC110" s="3">
        <v>3</v>
      </c>
      <c r="CD110" s="3">
        <v>3</v>
      </c>
      <c r="CE110" s="3" t="s">
        <v>314</v>
      </c>
      <c r="CF110" s="3">
        <v>13</v>
      </c>
      <c r="CG110" s="3">
        <v>27</v>
      </c>
      <c r="CH110" s="3">
        <v>57</v>
      </c>
      <c r="CI110" s="6">
        <f>COUNTIF(AG110:BB110, "Dispone")/22</f>
        <v>0.59090909090909094</v>
      </c>
      <c r="CJ110" s="7">
        <f>AVERAGE(BC110:BL110)</f>
        <v>2.7</v>
      </c>
      <c r="CK110" s="15">
        <f>AVERAGE(BM110:CD110)</f>
        <v>3.1666666666666665</v>
      </c>
      <c r="CL110" s="9" t="str">
        <f>IF(AND(CI110&gt;50%, CJ110&gt;2.5, CK110&gt;2.5), "Compromiso", "")</f>
        <v>Compromiso</v>
      </c>
      <c r="CM110" s="9" t="str">
        <f>IF(AND(CI110&gt;75%, CJ110&gt;4, CK110&gt;4), "Liderazgo", "")</f>
        <v/>
      </c>
      <c r="CN110" s="9" t="str">
        <f>IF(AND(CI110&gt;90%, CJ110&gt;4.5, CK110&gt;4.5), "Transformación", "")</f>
        <v/>
      </c>
      <c r="CO110" s="9" t="s">
        <v>95</v>
      </c>
      <c r="CP110" s="9" t="s">
        <v>146</v>
      </c>
    </row>
    <row r="111" spans="1:155" ht="17.25" customHeight="1" x14ac:dyDescent="0.25">
      <c r="A111" s="16">
        <v>45988.98541666667</v>
      </c>
      <c r="B111" s="16">
        <v>45988.997916666667</v>
      </c>
      <c r="C111" s="3" t="s">
        <v>96</v>
      </c>
      <c r="D111" s="11">
        <v>187136131192</v>
      </c>
      <c r="E111" s="3">
        <v>1094</v>
      </c>
      <c r="F111" s="3" t="b">
        <v>1</v>
      </c>
      <c r="G111" s="16">
        <v>45988.997916666667</v>
      </c>
      <c r="H111" s="3" t="s">
        <v>332</v>
      </c>
      <c r="I111" s="3">
        <v>23.734100000000002</v>
      </c>
      <c r="J111" s="3">
        <v>-99.122299999999996</v>
      </c>
      <c r="K111" s="3" t="s">
        <v>98</v>
      </c>
      <c r="L111" s="3" t="s">
        <v>333</v>
      </c>
      <c r="M111" s="3" t="s">
        <v>334</v>
      </c>
      <c r="N111" s="3" t="s">
        <v>335</v>
      </c>
      <c r="O111" s="3" t="s">
        <v>973</v>
      </c>
      <c r="P111" s="3">
        <f>56997520766</f>
        <v>56997520766</v>
      </c>
      <c r="Q111" s="3" t="s">
        <v>124</v>
      </c>
      <c r="R111" s="3">
        <v>1954</v>
      </c>
      <c r="S111" s="3">
        <v>3055</v>
      </c>
      <c r="T111" s="3">
        <v>17614</v>
      </c>
      <c r="U111" s="3">
        <v>0</v>
      </c>
      <c r="V111" s="3">
        <v>0</v>
      </c>
      <c r="W111" s="3" t="s">
        <v>173</v>
      </c>
      <c r="X111" s="3">
        <v>2</v>
      </c>
      <c r="Y111" s="3" t="s">
        <v>153</v>
      </c>
      <c r="Z111" s="3">
        <v>168</v>
      </c>
      <c r="AA111" s="3">
        <v>13941237</v>
      </c>
      <c r="AB111" s="3">
        <v>2573</v>
      </c>
      <c r="AC111" s="3">
        <v>14</v>
      </c>
      <c r="AD111" s="3">
        <v>457822</v>
      </c>
      <c r="AE111" s="3">
        <v>7</v>
      </c>
      <c r="AF111" s="3">
        <v>291618</v>
      </c>
      <c r="AG111" s="3" t="s">
        <v>93</v>
      </c>
      <c r="AH111" s="3" t="s">
        <v>93</v>
      </c>
      <c r="AI111" s="3" t="s">
        <v>93</v>
      </c>
      <c r="AJ111" s="3" t="s">
        <v>93</v>
      </c>
      <c r="AK111" s="3" t="s">
        <v>94</v>
      </c>
      <c r="AL111" s="3" t="s">
        <v>93</v>
      </c>
      <c r="AM111" s="3" t="s">
        <v>93</v>
      </c>
      <c r="AN111" s="3" t="s">
        <v>93</v>
      </c>
      <c r="AO111" s="3" t="s">
        <v>94</v>
      </c>
      <c r="AP111" s="3" t="s">
        <v>93</v>
      </c>
      <c r="AQ111" s="3" t="s">
        <v>94</v>
      </c>
      <c r="AR111" s="3" t="s">
        <v>93</v>
      </c>
      <c r="AS111" s="3" t="s">
        <v>93</v>
      </c>
      <c r="AT111" s="3" t="s">
        <v>94</v>
      </c>
      <c r="AU111" s="3" t="s">
        <v>93</v>
      </c>
      <c r="AV111" s="3" t="s">
        <v>93</v>
      </c>
      <c r="AW111" s="3" t="s">
        <v>93</v>
      </c>
      <c r="AX111" s="3" t="s">
        <v>93</v>
      </c>
      <c r="AY111" s="3" t="s">
        <v>93</v>
      </c>
      <c r="AZ111" s="3" t="s">
        <v>93</v>
      </c>
      <c r="BA111" s="3" t="s">
        <v>93</v>
      </c>
      <c r="BB111" s="3" t="s">
        <v>93</v>
      </c>
      <c r="BC111" s="3">
        <v>2</v>
      </c>
      <c r="BD111" s="3">
        <v>2</v>
      </c>
      <c r="BE111" s="3">
        <v>2</v>
      </c>
      <c r="BF111" s="3">
        <v>2</v>
      </c>
      <c r="BG111" s="3">
        <v>5</v>
      </c>
      <c r="BH111" s="3">
        <v>5</v>
      </c>
      <c r="BI111" s="3">
        <v>4</v>
      </c>
      <c r="BJ111" s="3">
        <v>3</v>
      </c>
      <c r="BK111" s="3">
        <v>5</v>
      </c>
      <c r="BL111" s="3">
        <v>2</v>
      </c>
      <c r="BM111" s="3">
        <v>5</v>
      </c>
      <c r="BN111" s="3">
        <v>5</v>
      </c>
      <c r="BO111" s="3">
        <v>5</v>
      </c>
      <c r="BP111" s="3">
        <v>5</v>
      </c>
      <c r="BQ111" s="3">
        <v>2</v>
      </c>
      <c r="BR111" s="3">
        <v>4</v>
      </c>
      <c r="BS111" s="3">
        <v>4</v>
      </c>
      <c r="BT111" s="3">
        <v>5</v>
      </c>
      <c r="BU111" s="3">
        <v>3</v>
      </c>
      <c r="BV111" s="3">
        <v>2</v>
      </c>
      <c r="BW111" s="3">
        <v>3</v>
      </c>
      <c r="BX111" s="3">
        <v>4</v>
      </c>
      <c r="BY111" s="3">
        <v>2</v>
      </c>
      <c r="BZ111" s="3">
        <v>5</v>
      </c>
      <c r="CA111" s="3">
        <v>5</v>
      </c>
      <c r="CB111" s="3">
        <v>2</v>
      </c>
      <c r="CC111" s="3">
        <v>3</v>
      </c>
      <c r="CD111" s="3">
        <v>4</v>
      </c>
      <c r="CF111" s="3">
        <v>18</v>
      </c>
      <c r="CG111" s="3">
        <v>32</v>
      </c>
      <c r="CH111" s="3">
        <v>68</v>
      </c>
      <c r="CI111" s="6">
        <f>COUNTIF(AG111:BB111, "Dispone")/22</f>
        <v>0.81818181818181823</v>
      </c>
      <c r="CJ111" s="7">
        <f>AVERAGE(BC111:BL111)</f>
        <v>3.2</v>
      </c>
      <c r="CK111" s="15">
        <f>AVERAGE(BM111:CD111)</f>
        <v>3.7777777777777777</v>
      </c>
      <c r="CL111" s="9" t="str">
        <f>IF(AND(CI111&gt;50%, CJ111&gt;2.5, CK111&gt;2.5), "Compromiso", "")</f>
        <v>Compromiso</v>
      </c>
      <c r="CM111" s="9" t="str">
        <f>IF(AND(CI111&gt;75%, CJ111&gt;4, CK111&gt;4), "Liderazgo", "")</f>
        <v/>
      </c>
      <c r="CN111" s="9" t="str">
        <f>IF(AND(CI111&gt;90%, CJ111&gt;4.5, CK111&gt;4.5), "Transformación", "")</f>
        <v/>
      </c>
      <c r="CO111" s="9" t="s">
        <v>95</v>
      </c>
      <c r="CP111" s="9" t="s">
        <v>132</v>
      </c>
    </row>
    <row r="112" spans="1:155" ht="17.25" customHeight="1" x14ac:dyDescent="0.25">
      <c r="A112" s="16">
        <v>45957.799305555556</v>
      </c>
      <c r="B112" s="16">
        <v>45957.811805555553</v>
      </c>
      <c r="C112" s="3" t="s">
        <v>96</v>
      </c>
      <c r="D112" s="3" t="s">
        <v>498</v>
      </c>
      <c r="E112" s="3">
        <v>1085</v>
      </c>
      <c r="F112" s="3" t="b">
        <v>1</v>
      </c>
      <c r="G112" s="16">
        <v>45957.811805555553</v>
      </c>
      <c r="H112" s="3" t="s">
        <v>499</v>
      </c>
      <c r="I112" s="3">
        <v>31.8156</v>
      </c>
      <c r="J112" s="3">
        <v>-116.57599999999999</v>
      </c>
      <c r="K112" s="3" t="s">
        <v>98</v>
      </c>
      <c r="L112" s="3" t="s">
        <v>500</v>
      </c>
      <c r="M112" s="3" t="s">
        <v>501</v>
      </c>
      <c r="N112" s="3" t="s">
        <v>502</v>
      </c>
      <c r="O112" s="3" t="s">
        <v>974</v>
      </c>
      <c r="P112" s="3">
        <v>6461968243</v>
      </c>
      <c r="Q112" s="3" t="s">
        <v>144</v>
      </c>
      <c r="R112" s="3">
        <v>1961</v>
      </c>
      <c r="S112" s="3">
        <v>1219</v>
      </c>
      <c r="T112" s="3">
        <v>8301</v>
      </c>
      <c r="U112" s="3">
        <v>223</v>
      </c>
      <c r="V112" s="3">
        <v>0</v>
      </c>
      <c r="W112" s="3" t="s">
        <v>91</v>
      </c>
      <c r="X112" s="3">
        <v>24.8</v>
      </c>
      <c r="Y112" s="3" t="s">
        <v>92</v>
      </c>
      <c r="Z112" s="3">
        <v>60</v>
      </c>
      <c r="AA112" s="3">
        <v>4582261</v>
      </c>
      <c r="AB112" s="3">
        <v>3929</v>
      </c>
      <c r="AC112" s="3">
        <v>78</v>
      </c>
      <c r="AD112" s="3">
        <v>190571</v>
      </c>
      <c r="AE112" s="3">
        <v>240</v>
      </c>
      <c r="AF112" s="3">
        <v>4941005</v>
      </c>
      <c r="AG112" s="9" t="s">
        <v>93</v>
      </c>
      <c r="AH112" s="3" t="s">
        <v>93</v>
      </c>
      <c r="AI112" s="3" t="s">
        <v>94</v>
      </c>
      <c r="AJ112" s="3" t="s">
        <v>93</v>
      </c>
      <c r="AK112" s="3" t="s">
        <v>93</v>
      </c>
      <c r="AL112" s="3" t="s">
        <v>93</v>
      </c>
      <c r="AM112" s="3" t="s">
        <v>93</v>
      </c>
      <c r="AN112" s="3" t="s">
        <v>93</v>
      </c>
      <c r="AO112" s="3" t="s">
        <v>93</v>
      </c>
      <c r="AP112" s="3" t="s">
        <v>93</v>
      </c>
      <c r="AQ112" s="3" t="s">
        <v>94</v>
      </c>
      <c r="AR112" s="3" t="s">
        <v>93</v>
      </c>
      <c r="AS112" s="3" t="s">
        <v>93</v>
      </c>
      <c r="AT112" s="3" t="s">
        <v>93</v>
      </c>
      <c r="AU112" s="3" t="s">
        <v>93</v>
      </c>
      <c r="AV112" s="3" t="s">
        <v>93</v>
      </c>
      <c r="AW112" s="3" t="s">
        <v>93</v>
      </c>
      <c r="AX112" s="3" t="s">
        <v>94</v>
      </c>
      <c r="AY112" s="3" t="s">
        <v>93</v>
      </c>
      <c r="AZ112" s="3" t="s">
        <v>93</v>
      </c>
      <c r="BA112" s="3" t="s">
        <v>93</v>
      </c>
      <c r="BB112" s="3" t="s">
        <v>93</v>
      </c>
      <c r="BC112" s="11">
        <v>5</v>
      </c>
      <c r="BD112" s="11">
        <v>4</v>
      </c>
      <c r="BE112" s="11">
        <v>4</v>
      </c>
      <c r="BF112" s="11">
        <v>5</v>
      </c>
      <c r="BG112" s="11">
        <v>5</v>
      </c>
      <c r="BH112" s="11">
        <v>5</v>
      </c>
      <c r="BI112" s="11">
        <v>5</v>
      </c>
      <c r="BJ112" s="11">
        <v>5</v>
      </c>
      <c r="BK112" s="11">
        <v>5</v>
      </c>
      <c r="BL112" s="11">
        <v>2</v>
      </c>
      <c r="BM112" s="11">
        <v>5</v>
      </c>
      <c r="BN112" s="11">
        <v>5</v>
      </c>
      <c r="BO112" s="11">
        <v>5</v>
      </c>
      <c r="BP112" s="11">
        <v>5</v>
      </c>
      <c r="BQ112" s="11">
        <v>4</v>
      </c>
      <c r="BR112" s="11">
        <v>5</v>
      </c>
      <c r="BS112" s="11">
        <v>5</v>
      </c>
      <c r="BT112" s="11">
        <v>5</v>
      </c>
      <c r="BU112" s="11">
        <v>4</v>
      </c>
      <c r="BV112" s="11">
        <v>5</v>
      </c>
      <c r="BW112" s="11">
        <v>4</v>
      </c>
      <c r="BX112" s="11">
        <v>3</v>
      </c>
      <c r="BY112" s="11">
        <v>5</v>
      </c>
      <c r="BZ112" s="11">
        <v>2</v>
      </c>
      <c r="CA112" s="11">
        <v>5</v>
      </c>
      <c r="CB112" s="11">
        <v>5</v>
      </c>
      <c r="CC112" s="11">
        <v>5</v>
      </c>
      <c r="CD112" s="11">
        <v>5</v>
      </c>
      <c r="CE112" s="3" t="s">
        <v>503</v>
      </c>
      <c r="CF112" s="3">
        <v>19</v>
      </c>
      <c r="CG112" s="3">
        <v>45</v>
      </c>
      <c r="CH112" s="3">
        <v>82</v>
      </c>
      <c r="CI112" s="6">
        <f>COUNTIF(AG112:BB112, "Dispone")/22</f>
        <v>0.86363636363636365</v>
      </c>
      <c r="CJ112" s="7">
        <f>AVERAGE(BC112:BL112)</f>
        <v>4.5</v>
      </c>
      <c r="CK112" s="15">
        <f>AVERAGE(BM112:CD112)</f>
        <v>4.5555555555555554</v>
      </c>
      <c r="CL112" s="9" t="str">
        <f>IF(AND(CI112&gt;50%, CJ112&gt;2.5, CK112&gt;2.5), "Compromiso", "")</f>
        <v>Compromiso</v>
      </c>
      <c r="CM112" s="9" t="str">
        <f>IF(AND(CI112&gt;75%, CJ112&gt;4, CK112&gt;4), "Liderazgo", "")</f>
        <v>Liderazgo</v>
      </c>
      <c r="CN112" s="9" t="str">
        <f>IF(AND(CI112&gt;90%, CJ112&gt;4.5, CK112&gt;4.5), "Transformación", "")</f>
        <v/>
      </c>
      <c r="CO112" s="9" t="s">
        <v>103</v>
      </c>
      <c r="CP112" s="9" t="s">
        <v>95</v>
      </c>
    </row>
    <row r="113" spans="1:94" ht="17.25" customHeight="1" x14ac:dyDescent="0.25">
      <c r="A113" s="16">
        <v>45985.991666666669</v>
      </c>
      <c r="B113" s="16">
        <v>45986.004166666666</v>
      </c>
      <c r="C113" s="3" t="s">
        <v>96</v>
      </c>
      <c r="D113" s="3" t="s">
        <v>673</v>
      </c>
      <c r="E113" s="3">
        <v>1057</v>
      </c>
      <c r="F113" s="3" t="b">
        <v>1</v>
      </c>
      <c r="G113" s="16">
        <v>45986.004166666666</v>
      </c>
      <c r="H113" s="3" t="s">
        <v>674</v>
      </c>
      <c r="I113" s="3">
        <v>-23.567699999999999</v>
      </c>
      <c r="J113" s="3">
        <v>-46.183300000000003</v>
      </c>
      <c r="K113" s="3" t="s">
        <v>113</v>
      </c>
      <c r="L113" s="3" t="s">
        <v>675</v>
      </c>
      <c r="M113" s="3" t="s">
        <v>676</v>
      </c>
      <c r="N113" s="3" t="s">
        <v>677</v>
      </c>
      <c r="O113" s="3" t="s">
        <v>975</v>
      </c>
      <c r="P113" s="3">
        <v>11992011313</v>
      </c>
      <c r="Q113" s="3" t="s">
        <v>90</v>
      </c>
      <c r="R113" s="3">
        <v>1965</v>
      </c>
      <c r="S113" s="3">
        <v>358</v>
      </c>
      <c r="T113" s="3">
        <v>11528</v>
      </c>
      <c r="U113" s="3">
        <v>18322</v>
      </c>
      <c r="V113" s="3">
        <v>0</v>
      </c>
      <c r="W113" s="3" t="s">
        <v>91</v>
      </c>
      <c r="X113" s="3">
        <v>2</v>
      </c>
      <c r="Y113" s="3" t="s">
        <v>92</v>
      </c>
      <c r="Z113" s="3">
        <v>8</v>
      </c>
      <c r="AA113" s="3">
        <v>863605</v>
      </c>
      <c r="AB113" s="3">
        <v>0</v>
      </c>
      <c r="AC113" s="3">
        <v>500</v>
      </c>
      <c r="AD113" s="3">
        <v>10500</v>
      </c>
      <c r="AE113" s="3">
        <v>27000</v>
      </c>
      <c r="AF113" s="3">
        <v>152265</v>
      </c>
      <c r="AG113" s="3" t="s">
        <v>93</v>
      </c>
      <c r="AH113" s="3" t="s">
        <v>94</v>
      </c>
      <c r="AI113" s="3" t="s">
        <v>94</v>
      </c>
      <c r="AJ113" s="3" t="s">
        <v>93</v>
      </c>
      <c r="AK113" s="3" t="s">
        <v>93</v>
      </c>
      <c r="AL113" s="3" t="s">
        <v>93</v>
      </c>
      <c r="AM113" s="3" t="s">
        <v>93</v>
      </c>
      <c r="AN113" s="3" t="s">
        <v>93</v>
      </c>
      <c r="AO113" s="3" t="s">
        <v>93</v>
      </c>
      <c r="AP113" s="3" t="s">
        <v>93</v>
      </c>
      <c r="AQ113" s="3" t="s">
        <v>93</v>
      </c>
      <c r="AR113" s="3" t="s">
        <v>93</v>
      </c>
      <c r="AS113" s="3" t="s">
        <v>93</v>
      </c>
      <c r="AT113" s="3" t="s">
        <v>93</v>
      </c>
      <c r="AU113" s="3" t="s">
        <v>93</v>
      </c>
      <c r="AV113" s="3" t="s">
        <v>93</v>
      </c>
      <c r="AW113" s="3" t="s">
        <v>93</v>
      </c>
      <c r="AX113" s="3" t="s">
        <v>94</v>
      </c>
      <c r="AY113" s="3" t="s">
        <v>93</v>
      </c>
      <c r="AZ113" s="3" t="s">
        <v>93</v>
      </c>
      <c r="BA113" s="3" t="s">
        <v>93</v>
      </c>
      <c r="BB113" s="3" t="s">
        <v>93</v>
      </c>
      <c r="BC113" s="3">
        <v>1</v>
      </c>
      <c r="BD113" s="3">
        <v>2</v>
      </c>
      <c r="BE113" s="3">
        <v>2</v>
      </c>
      <c r="BF113" s="3">
        <v>2</v>
      </c>
      <c r="BG113" s="3">
        <v>3</v>
      </c>
      <c r="BH113" s="3">
        <v>3</v>
      </c>
      <c r="BI113" s="3">
        <v>3</v>
      </c>
      <c r="BJ113" s="3">
        <v>3</v>
      </c>
      <c r="BK113" s="3">
        <v>3</v>
      </c>
      <c r="BL113" s="3">
        <v>3</v>
      </c>
      <c r="BM113" s="3">
        <v>2</v>
      </c>
      <c r="BN113" s="3">
        <v>3</v>
      </c>
      <c r="BO113" s="3">
        <v>2</v>
      </c>
      <c r="BP113" s="3">
        <v>3</v>
      </c>
      <c r="BQ113" s="3">
        <v>3</v>
      </c>
      <c r="BR113" s="3">
        <v>3</v>
      </c>
      <c r="BS113" s="3">
        <v>3</v>
      </c>
      <c r="BT113" s="3">
        <v>3</v>
      </c>
      <c r="BU113" s="3">
        <v>3</v>
      </c>
      <c r="BV113" s="3">
        <v>3</v>
      </c>
      <c r="BW113" s="3">
        <v>3</v>
      </c>
      <c r="BX113" s="3">
        <v>3</v>
      </c>
      <c r="BY113" s="3">
        <v>3</v>
      </c>
      <c r="BZ113" s="3">
        <v>3</v>
      </c>
      <c r="CA113" s="3">
        <v>3</v>
      </c>
      <c r="CB113" s="3">
        <v>3</v>
      </c>
      <c r="CC113" s="3">
        <v>3</v>
      </c>
      <c r="CD113" s="3">
        <v>3</v>
      </c>
      <c r="CF113" s="3">
        <v>19</v>
      </c>
      <c r="CG113" s="3">
        <v>25</v>
      </c>
      <c r="CH113" s="3">
        <v>52</v>
      </c>
      <c r="CI113" s="6">
        <f>COUNTIF(AG113:BB113, "Dispone")/22</f>
        <v>0.86363636363636365</v>
      </c>
      <c r="CJ113" s="7">
        <f>AVERAGE(BC113:BL113)</f>
        <v>2.5</v>
      </c>
      <c r="CK113" s="15">
        <f>AVERAGE(BM113:CD113)</f>
        <v>2.8888888888888888</v>
      </c>
      <c r="CL113" s="9" t="str">
        <f>IF(AND(CI113&gt;50%, CJ113&gt;2.5, CK113&gt;2.5), "Compromiso", "")</f>
        <v/>
      </c>
      <c r="CM113" s="9" t="str">
        <f>IF(AND(CI113&gt;75%, CJ113&gt;4, CK113&gt;4), "Liderazgo", "")</f>
        <v/>
      </c>
      <c r="CN113" s="9" t="str">
        <f>IF(AND(CI113&gt;90%, CJ113&gt;4.5, CK113&gt;4.5), "Transformación", "")</f>
        <v/>
      </c>
      <c r="CO113" s="9" t="s">
        <v>581</v>
      </c>
      <c r="CP113" s="9" t="s">
        <v>95</v>
      </c>
    </row>
    <row r="114" spans="1:94" ht="17.25" customHeight="1" x14ac:dyDescent="0.25">
      <c r="A114" s="10">
        <v>45965.05972222222</v>
      </c>
      <c r="B114" s="10">
        <v>45965.071527777778</v>
      </c>
      <c r="C114" s="3" t="s">
        <v>96</v>
      </c>
      <c r="D114" s="3" t="s">
        <v>796</v>
      </c>
      <c r="E114" s="3">
        <v>1052</v>
      </c>
      <c r="F114" s="3" t="b">
        <v>1</v>
      </c>
      <c r="G114" s="10">
        <v>45965.071527777778</v>
      </c>
      <c r="H114" s="3" t="s">
        <v>797</v>
      </c>
      <c r="I114" s="3">
        <v>-33.452100000000002</v>
      </c>
      <c r="J114" s="3">
        <v>-70.653599999999997</v>
      </c>
      <c r="K114" s="3" t="s">
        <v>98</v>
      </c>
      <c r="L114" s="3" t="s">
        <v>798</v>
      </c>
      <c r="M114" s="3" t="s">
        <v>799</v>
      </c>
      <c r="N114" s="3" t="s">
        <v>800</v>
      </c>
      <c r="O114" s="3" t="s">
        <v>976</v>
      </c>
      <c r="P114" s="3">
        <v>5518402159</v>
      </c>
      <c r="Q114" s="3" t="s">
        <v>144</v>
      </c>
      <c r="R114" s="3">
        <v>1943</v>
      </c>
      <c r="S114" s="3">
        <v>32</v>
      </c>
      <c r="T114" s="3">
        <v>87.554000000000002</v>
      </c>
      <c r="U114" s="3">
        <v>0</v>
      </c>
      <c r="V114" s="3">
        <v>0</v>
      </c>
      <c r="W114" s="3" t="s">
        <v>91</v>
      </c>
      <c r="X114" s="3">
        <v>1.617</v>
      </c>
      <c r="Y114" s="3" t="s">
        <v>153</v>
      </c>
      <c r="Z114" s="3">
        <v>550</v>
      </c>
      <c r="AA114" s="3">
        <v>98550238</v>
      </c>
      <c r="AB114" s="3">
        <v>20334</v>
      </c>
      <c r="AC114" s="3">
        <v>39.5</v>
      </c>
      <c r="AD114" s="3">
        <v>1800000</v>
      </c>
      <c r="AE114" s="3">
        <v>56</v>
      </c>
      <c r="AF114" s="3">
        <v>1000000</v>
      </c>
      <c r="AG114" s="3" t="s">
        <v>93</v>
      </c>
      <c r="AH114" s="3" t="s">
        <v>93</v>
      </c>
      <c r="AI114" s="3" t="s">
        <v>93</v>
      </c>
      <c r="AJ114" s="3" t="s">
        <v>93</v>
      </c>
      <c r="AK114" s="3" t="s">
        <v>93</v>
      </c>
      <c r="AL114" s="3" t="s">
        <v>93</v>
      </c>
      <c r="AM114" s="3" t="s">
        <v>93</v>
      </c>
      <c r="AN114" s="3" t="s">
        <v>93</v>
      </c>
      <c r="AO114" s="3" t="s">
        <v>93</v>
      </c>
      <c r="AP114" s="3" t="s">
        <v>93</v>
      </c>
      <c r="AQ114" s="3" t="s">
        <v>93</v>
      </c>
      <c r="AR114" s="3" t="s">
        <v>93</v>
      </c>
      <c r="AS114" s="3" t="s">
        <v>93</v>
      </c>
      <c r="AT114" s="3" t="s">
        <v>93</v>
      </c>
      <c r="AU114" s="3" t="s">
        <v>93</v>
      </c>
      <c r="AV114" s="3" t="s">
        <v>93</v>
      </c>
      <c r="AW114" s="3" t="s">
        <v>93</v>
      </c>
      <c r="AX114" s="3" t="s">
        <v>93</v>
      </c>
      <c r="AY114" s="3" t="s">
        <v>93</v>
      </c>
      <c r="AZ114" s="3" t="s">
        <v>93</v>
      </c>
      <c r="BA114" s="3" t="s">
        <v>93</v>
      </c>
      <c r="BB114" s="3" t="s">
        <v>94</v>
      </c>
      <c r="BC114" s="3">
        <v>5</v>
      </c>
      <c r="BD114" s="3">
        <v>5</v>
      </c>
      <c r="BE114" s="3">
        <v>5</v>
      </c>
      <c r="BF114" s="3">
        <v>5</v>
      </c>
      <c r="BG114" s="3">
        <v>5</v>
      </c>
      <c r="BH114" s="3">
        <v>4</v>
      </c>
      <c r="BI114" s="3">
        <v>4</v>
      </c>
      <c r="BJ114" s="3">
        <v>5</v>
      </c>
      <c r="BK114" s="3">
        <v>5</v>
      </c>
      <c r="BL114" s="3">
        <v>5</v>
      </c>
      <c r="BM114" s="3">
        <v>5</v>
      </c>
      <c r="BN114" s="3">
        <v>5</v>
      </c>
      <c r="BO114" s="3">
        <v>5</v>
      </c>
      <c r="BP114" s="3">
        <v>5</v>
      </c>
      <c r="BQ114" s="3">
        <v>5</v>
      </c>
      <c r="BR114" s="3">
        <v>5</v>
      </c>
      <c r="BS114" s="3">
        <v>5</v>
      </c>
      <c r="BT114" s="3">
        <v>5</v>
      </c>
      <c r="BU114" s="3">
        <v>5</v>
      </c>
      <c r="BV114" s="3">
        <v>5</v>
      </c>
      <c r="BW114" s="3">
        <v>5</v>
      </c>
      <c r="BX114" s="3">
        <v>5</v>
      </c>
      <c r="BY114" s="3">
        <v>5</v>
      </c>
      <c r="BZ114" s="3">
        <v>5</v>
      </c>
      <c r="CA114" s="3">
        <v>5</v>
      </c>
      <c r="CB114" s="3">
        <v>5</v>
      </c>
      <c r="CC114" s="3">
        <v>5</v>
      </c>
      <c r="CD114" s="3">
        <v>5</v>
      </c>
      <c r="CF114" s="3">
        <v>21</v>
      </c>
      <c r="CG114" s="3">
        <v>48</v>
      </c>
      <c r="CH114" s="3">
        <v>90</v>
      </c>
      <c r="CI114" s="6">
        <f>COUNTIF(AG114:BB114, "Dispone")/22</f>
        <v>0.95454545454545459</v>
      </c>
      <c r="CJ114" s="7">
        <f>AVERAGE(BC114:BL114)</f>
        <v>4.8</v>
      </c>
      <c r="CK114" s="15">
        <f>AVERAGE(BM114:CD114)</f>
        <v>5</v>
      </c>
      <c r="CL114" s="9" t="str">
        <f>IF(AND(CI114&gt;50%, CJ114&gt;2.5, CK114&gt;2.5), "Compromiso", "")</f>
        <v>Compromiso</v>
      </c>
      <c r="CM114" s="9" t="str">
        <f>IF(AND(CI114&gt;75%, CJ114&gt;4, CK114&gt;4), "Liderazgo", "")</f>
        <v>Liderazgo</v>
      </c>
      <c r="CN114" s="9" t="str">
        <f>IF(AND(CI114&gt;90%, CJ114&gt;4.5, CK114&gt;4.5), "Transformación", "")</f>
        <v>Transformación</v>
      </c>
      <c r="CO114" s="9" t="s">
        <v>132</v>
      </c>
      <c r="CP114" s="9" t="s">
        <v>103</v>
      </c>
    </row>
    <row r="115" spans="1:94" ht="17.25" customHeight="1" x14ac:dyDescent="0.25">
      <c r="A115" s="12">
        <v>45898.951689814814</v>
      </c>
      <c r="B115" s="12">
        <v>45898.963807870372</v>
      </c>
      <c r="C115" s="9" t="s">
        <v>96</v>
      </c>
      <c r="D115" s="9" t="s">
        <v>180</v>
      </c>
      <c r="E115" s="13">
        <v>1047</v>
      </c>
      <c r="F115" s="9" t="s">
        <v>105</v>
      </c>
      <c r="G115" s="12">
        <v>45898.963822835649</v>
      </c>
      <c r="H115" s="9" t="s">
        <v>517</v>
      </c>
      <c r="I115" s="13">
        <v>-8.9316999999999993</v>
      </c>
      <c r="J115" s="13">
        <v>-36.516199999999998</v>
      </c>
      <c r="K115" s="9" t="s">
        <v>98</v>
      </c>
      <c r="L115" s="9" t="s">
        <v>518</v>
      </c>
      <c r="M115" s="3" t="s">
        <v>519</v>
      </c>
      <c r="N115" s="9" t="s">
        <v>520</v>
      </c>
      <c r="O115" s="3" t="s">
        <v>977</v>
      </c>
      <c r="P115" s="14" t="s">
        <v>1020</v>
      </c>
      <c r="Q115" s="9" t="s">
        <v>124</v>
      </c>
      <c r="R115" s="3">
        <v>1928</v>
      </c>
      <c r="S115" s="3">
        <v>2087</v>
      </c>
      <c r="T115" s="3">
        <v>17215</v>
      </c>
      <c r="U115" s="3">
        <v>0</v>
      </c>
      <c r="V115" s="3">
        <v>0</v>
      </c>
      <c r="W115" s="9" t="s">
        <v>173</v>
      </c>
      <c r="X115" s="3">
        <v>3</v>
      </c>
      <c r="Y115" s="9" t="s">
        <v>92</v>
      </c>
      <c r="Z115" s="3">
        <v>21</v>
      </c>
      <c r="AA115" s="3">
        <v>8375</v>
      </c>
      <c r="AB115" s="3">
        <v>15941</v>
      </c>
      <c r="AC115" s="3">
        <v>30</v>
      </c>
      <c r="AD115" s="3">
        <v>968449</v>
      </c>
      <c r="AE115" s="3">
        <v>3</v>
      </c>
      <c r="AF115" s="3">
        <v>848920</v>
      </c>
      <c r="AG115" s="9" t="s">
        <v>94</v>
      </c>
      <c r="AH115" s="9" t="s">
        <v>93</v>
      </c>
      <c r="AI115" s="9" t="s">
        <v>94</v>
      </c>
      <c r="AJ115" s="9" t="s">
        <v>93</v>
      </c>
      <c r="AK115" s="9" t="s">
        <v>93</v>
      </c>
      <c r="AL115" s="9" t="s">
        <v>93</v>
      </c>
      <c r="AM115" s="9" t="s">
        <v>93</v>
      </c>
      <c r="AN115" s="9" t="s">
        <v>94</v>
      </c>
      <c r="AO115" s="9" t="s">
        <v>93</v>
      </c>
      <c r="AP115" s="9" t="s">
        <v>93</v>
      </c>
      <c r="AQ115" s="9" t="s">
        <v>93</v>
      </c>
      <c r="AR115" s="9" t="s">
        <v>93</v>
      </c>
      <c r="AS115" s="9" t="s">
        <v>93</v>
      </c>
      <c r="AT115" s="9" t="s">
        <v>93</v>
      </c>
      <c r="AU115" s="9" t="s">
        <v>94</v>
      </c>
      <c r="AV115" s="9" t="s">
        <v>93</v>
      </c>
      <c r="AW115" s="9" t="s">
        <v>93</v>
      </c>
      <c r="AX115" s="9" t="s">
        <v>94</v>
      </c>
      <c r="AY115" s="9" t="s">
        <v>93</v>
      </c>
      <c r="AZ115" s="9" t="s">
        <v>93</v>
      </c>
      <c r="BA115" s="9" t="s">
        <v>93</v>
      </c>
      <c r="BB115" s="9" t="s">
        <v>93</v>
      </c>
      <c r="BC115" s="11">
        <v>5</v>
      </c>
      <c r="BD115" s="11">
        <v>5</v>
      </c>
      <c r="BE115" s="11">
        <v>5</v>
      </c>
      <c r="BF115" s="11">
        <v>5</v>
      </c>
      <c r="BG115" s="11">
        <v>5</v>
      </c>
      <c r="BH115" s="11">
        <v>5</v>
      </c>
      <c r="BI115" s="11">
        <v>4</v>
      </c>
      <c r="BJ115" s="11">
        <v>5</v>
      </c>
      <c r="BK115" s="11">
        <v>1</v>
      </c>
      <c r="BL115" s="11">
        <v>2</v>
      </c>
      <c r="BM115" s="11">
        <v>5</v>
      </c>
      <c r="BN115" s="11">
        <v>3</v>
      </c>
      <c r="BO115" s="11">
        <v>3</v>
      </c>
      <c r="BP115" s="11">
        <v>2</v>
      </c>
      <c r="BQ115" s="11">
        <v>3</v>
      </c>
      <c r="BR115" s="11">
        <v>5</v>
      </c>
      <c r="BS115" s="11">
        <v>5</v>
      </c>
      <c r="BT115" s="11">
        <v>5</v>
      </c>
      <c r="BU115" s="11">
        <v>5</v>
      </c>
      <c r="BV115" s="11">
        <v>5</v>
      </c>
      <c r="BW115" s="11">
        <v>2</v>
      </c>
      <c r="BX115" s="11">
        <v>4</v>
      </c>
      <c r="BY115" s="11">
        <v>5</v>
      </c>
      <c r="BZ115" s="11">
        <v>5</v>
      </c>
      <c r="CA115" s="11">
        <v>5</v>
      </c>
      <c r="CB115" s="11">
        <v>1</v>
      </c>
      <c r="CC115" s="11">
        <v>5</v>
      </c>
      <c r="CD115" s="11">
        <v>5</v>
      </c>
      <c r="CE115" s="9" t="s">
        <v>521</v>
      </c>
      <c r="CF115" s="3">
        <v>17</v>
      </c>
      <c r="CG115" s="3">
        <v>42</v>
      </c>
      <c r="CH115" s="3">
        <v>73</v>
      </c>
      <c r="CI115" s="6">
        <f>COUNTIF(AG115:BB115, "Dispone")/22</f>
        <v>0.77272727272727271</v>
      </c>
      <c r="CJ115" s="7">
        <f>AVERAGE(BC115:BL115)</f>
        <v>4.2</v>
      </c>
      <c r="CK115" s="15">
        <f>AVERAGE(BM115:CD115)</f>
        <v>4.0555555555555554</v>
      </c>
      <c r="CL115" s="9" t="str">
        <f>IF(AND(CI115&gt;50%, CJ115&gt;2.5, CK115&gt;2.5), "Compromiso", "")</f>
        <v>Compromiso</v>
      </c>
      <c r="CM115" s="9" t="str">
        <f>IF(AND(CI115&gt;75%, CJ115&gt;4, CK115&gt;4), "Liderazgo", "")</f>
        <v>Liderazgo</v>
      </c>
      <c r="CN115" s="9" t="str">
        <f>IF(AND(CI115&gt;90%, CJ115&gt;4.5, CK115&gt;4.5), "Transformación", "")</f>
        <v/>
      </c>
      <c r="CO115" s="9" t="s">
        <v>103</v>
      </c>
      <c r="CP115" s="3" t="s">
        <v>95</v>
      </c>
    </row>
    <row r="116" spans="1:94" ht="17.25" customHeight="1" x14ac:dyDescent="0.25">
      <c r="A116" s="12">
        <v>45890.055300925924</v>
      </c>
      <c r="B116" s="12">
        <v>45890.067361111112</v>
      </c>
      <c r="C116" s="9" t="s">
        <v>96</v>
      </c>
      <c r="D116" s="9" t="s">
        <v>829</v>
      </c>
      <c r="E116" s="13">
        <v>1041</v>
      </c>
      <c r="F116" s="9" t="s">
        <v>105</v>
      </c>
      <c r="G116" s="12">
        <v>45890.067367905096</v>
      </c>
      <c r="H116" s="9" t="s">
        <v>830</v>
      </c>
      <c r="I116" s="13">
        <v>40.478999999999999</v>
      </c>
      <c r="J116" s="13">
        <v>-3.3565</v>
      </c>
      <c r="K116" s="9" t="s">
        <v>98</v>
      </c>
      <c r="L116" s="9" t="s">
        <v>831</v>
      </c>
      <c r="M116" s="3" t="s">
        <v>888</v>
      </c>
      <c r="N116" s="9" t="s">
        <v>832</v>
      </c>
      <c r="O116" s="3" t="s">
        <v>978</v>
      </c>
      <c r="P116" s="9" t="s">
        <v>833</v>
      </c>
      <c r="Q116" s="9" t="s">
        <v>130</v>
      </c>
      <c r="R116" s="3">
        <v>1995</v>
      </c>
      <c r="S116" s="3">
        <v>890</v>
      </c>
      <c r="T116" s="3">
        <v>9000</v>
      </c>
      <c r="U116" s="3">
        <v>9000</v>
      </c>
      <c r="V116" s="3">
        <v>9000</v>
      </c>
      <c r="W116" s="9" t="s">
        <v>91</v>
      </c>
      <c r="X116" s="3">
        <v>3</v>
      </c>
      <c r="Y116" s="9" t="s">
        <v>92</v>
      </c>
      <c r="Z116" s="3">
        <v>4</v>
      </c>
      <c r="AA116" s="3">
        <v>1065000</v>
      </c>
      <c r="AB116" s="3">
        <v>4500</v>
      </c>
      <c r="AC116" s="3">
        <v>60</v>
      </c>
      <c r="AD116" s="3">
        <v>93075</v>
      </c>
      <c r="AE116" s="3">
        <v>5</v>
      </c>
      <c r="AF116" s="3">
        <v>100000</v>
      </c>
      <c r="AG116" s="9" t="s">
        <v>93</v>
      </c>
      <c r="AH116" s="9" t="s">
        <v>93</v>
      </c>
      <c r="AI116" s="9" t="s">
        <v>93</v>
      </c>
      <c r="AJ116" s="9" t="s">
        <v>93</v>
      </c>
      <c r="AK116" s="9" t="s">
        <v>93</v>
      </c>
      <c r="AL116" s="9" t="s">
        <v>93</v>
      </c>
      <c r="AM116" s="9" t="s">
        <v>93</v>
      </c>
      <c r="AN116" s="9" t="s">
        <v>93</v>
      </c>
      <c r="AO116" s="9" t="s">
        <v>93</v>
      </c>
      <c r="AP116" s="9" t="s">
        <v>93</v>
      </c>
      <c r="AQ116" s="9" t="s">
        <v>93</v>
      </c>
      <c r="AR116" s="9" t="s">
        <v>93</v>
      </c>
      <c r="AS116" s="9" t="s">
        <v>93</v>
      </c>
      <c r="AT116" s="9" t="s">
        <v>93</v>
      </c>
      <c r="AU116" s="9" t="s">
        <v>93</v>
      </c>
      <c r="AV116" s="9" t="s">
        <v>93</v>
      </c>
      <c r="AW116" s="9" t="s">
        <v>93</v>
      </c>
      <c r="AX116" s="9" t="s">
        <v>93</v>
      </c>
      <c r="AY116" s="9" t="s">
        <v>93</v>
      </c>
      <c r="AZ116" s="9" t="s">
        <v>93</v>
      </c>
      <c r="BA116" s="9" t="s">
        <v>93</v>
      </c>
      <c r="BB116" s="9" t="s">
        <v>93</v>
      </c>
      <c r="BC116" s="11">
        <v>5</v>
      </c>
      <c r="BD116" s="11">
        <v>5</v>
      </c>
      <c r="BE116" s="11">
        <v>5</v>
      </c>
      <c r="BF116" s="11">
        <v>5</v>
      </c>
      <c r="BG116" s="11">
        <v>5</v>
      </c>
      <c r="BH116" s="11">
        <v>5</v>
      </c>
      <c r="BI116" s="11">
        <v>5</v>
      </c>
      <c r="BJ116" s="11">
        <v>5</v>
      </c>
      <c r="BK116" s="11">
        <v>3</v>
      </c>
      <c r="BL116" s="11">
        <v>4</v>
      </c>
      <c r="BM116" s="11">
        <v>5</v>
      </c>
      <c r="BN116" s="11">
        <v>5</v>
      </c>
      <c r="BO116" s="11">
        <v>5</v>
      </c>
      <c r="BP116" s="11">
        <v>5</v>
      </c>
      <c r="BQ116" s="11">
        <v>5</v>
      </c>
      <c r="BR116" s="11">
        <v>5</v>
      </c>
      <c r="BS116" s="11">
        <v>4</v>
      </c>
      <c r="BT116" s="11">
        <v>5</v>
      </c>
      <c r="BU116" s="11">
        <v>5</v>
      </c>
      <c r="BV116" s="11">
        <v>5</v>
      </c>
      <c r="BW116" s="11">
        <v>5</v>
      </c>
      <c r="BX116" s="11">
        <v>5</v>
      </c>
      <c r="BY116" s="11">
        <v>5</v>
      </c>
      <c r="BZ116" s="11">
        <v>5</v>
      </c>
      <c r="CA116" s="11">
        <v>4</v>
      </c>
      <c r="CB116" s="11">
        <v>5</v>
      </c>
      <c r="CC116" s="11">
        <v>5</v>
      </c>
      <c r="CD116" s="11">
        <v>5</v>
      </c>
      <c r="CE116" s="9"/>
      <c r="CF116" s="3">
        <v>22</v>
      </c>
      <c r="CG116" s="3">
        <v>47</v>
      </c>
      <c r="CH116" s="3">
        <v>88</v>
      </c>
      <c r="CI116" s="6">
        <f>COUNTIF(AG116:BB116, "Dispone")/22</f>
        <v>1</v>
      </c>
      <c r="CJ116" s="7">
        <f>AVERAGE(BC116:BL116)</f>
        <v>4.7</v>
      </c>
      <c r="CK116" s="15">
        <f>AVERAGE(BM116:CD116)</f>
        <v>4.8888888888888893</v>
      </c>
      <c r="CL116" s="9" t="str">
        <f>IF(AND(CI116&gt;50%, CJ116&gt;2.5, CK116&gt;2.5), "Compromiso", "")</f>
        <v>Compromiso</v>
      </c>
      <c r="CM116" s="9" t="str">
        <f>IF(AND(CI116&gt;75%, CJ116&gt;4, CK116&gt;4), "Liderazgo", "")</f>
        <v>Liderazgo</v>
      </c>
      <c r="CN116" s="9" t="str">
        <f>IF(AND(CI116&gt;90%, CJ116&gt;4.5, CK116&gt;4.5), "Transformación", "")</f>
        <v>Transformación</v>
      </c>
      <c r="CO116" s="9" t="s">
        <v>132</v>
      </c>
      <c r="CP116" s="3" t="s">
        <v>103</v>
      </c>
    </row>
    <row r="117" spans="1:94" ht="17.25" customHeight="1" x14ac:dyDescent="0.25">
      <c r="A117" s="16">
        <v>45961.830555555556</v>
      </c>
      <c r="B117" s="16">
        <v>45961.841666666667</v>
      </c>
      <c r="C117" s="3" t="s">
        <v>96</v>
      </c>
      <c r="D117" s="11">
        <v>201105117210</v>
      </c>
      <c r="E117" s="3">
        <v>986</v>
      </c>
      <c r="F117" s="3" t="b">
        <v>1</v>
      </c>
      <c r="G117" s="16">
        <v>45961.841666666667</v>
      </c>
      <c r="H117" s="3" t="s">
        <v>504</v>
      </c>
      <c r="I117" s="3">
        <v>19.542000000000002</v>
      </c>
      <c r="J117" s="3">
        <v>-96.895899999999997</v>
      </c>
      <c r="K117" s="3" t="s">
        <v>98</v>
      </c>
      <c r="L117" s="3" t="s">
        <v>505</v>
      </c>
      <c r="M117" s="3" t="s">
        <v>506</v>
      </c>
      <c r="N117" s="3" t="s">
        <v>507</v>
      </c>
      <c r="O117" s="3" t="s">
        <v>979</v>
      </c>
      <c r="P117" s="3">
        <v>3218168217</v>
      </c>
      <c r="Q117" s="3" t="s">
        <v>102</v>
      </c>
      <c r="R117" s="3">
        <v>1986</v>
      </c>
      <c r="S117" s="3">
        <v>4297</v>
      </c>
      <c r="T117" s="3">
        <v>21136</v>
      </c>
      <c r="U117" s="3">
        <v>1345</v>
      </c>
      <c r="V117" s="3">
        <v>0</v>
      </c>
      <c r="W117" s="3" t="s">
        <v>91</v>
      </c>
      <c r="X117" s="3">
        <v>0.8</v>
      </c>
      <c r="Y117" s="3" t="s">
        <v>153</v>
      </c>
      <c r="Z117" s="3">
        <v>0.8</v>
      </c>
      <c r="AA117" s="3">
        <v>8367335</v>
      </c>
      <c r="AB117" s="3">
        <v>2051</v>
      </c>
      <c r="AC117" s="3">
        <v>76</v>
      </c>
      <c r="AD117" s="3">
        <v>132666</v>
      </c>
      <c r="AE117" s="3">
        <v>80</v>
      </c>
      <c r="AF117" s="3">
        <v>27144351</v>
      </c>
      <c r="AG117" s="3" t="s">
        <v>93</v>
      </c>
      <c r="AH117" s="3" t="s">
        <v>93</v>
      </c>
      <c r="AI117" s="3" t="s">
        <v>93</v>
      </c>
      <c r="AJ117" s="3" t="s">
        <v>93</v>
      </c>
      <c r="AK117" s="3" t="s">
        <v>93</v>
      </c>
      <c r="AL117" s="3" t="s">
        <v>93</v>
      </c>
      <c r="AM117" s="3" t="s">
        <v>93</v>
      </c>
      <c r="AN117" s="3" t="s">
        <v>93</v>
      </c>
      <c r="AO117" s="3" t="s">
        <v>93</v>
      </c>
      <c r="AP117" s="3" t="s">
        <v>93</v>
      </c>
      <c r="AQ117" s="3" t="s">
        <v>93</v>
      </c>
      <c r="AR117" s="3" t="s">
        <v>94</v>
      </c>
      <c r="AS117" s="3" t="s">
        <v>93</v>
      </c>
      <c r="AT117" s="3" t="s">
        <v>93</v>
      </c>
      <c r="AU117" s="3" t="s">
        <v>94</v>
      </c>
      <c r="AV117" s="3" t="s">
        <v>93</v>
      </c>
      <c r="AW117" s="3" t="s">
        <v>93</v>
      </c>
      <c r="AX117" s="3" t="s">
        <v>94</v>
      </c>
      <c r="AY117" s="3" t="s">
        <v>93</v>
      </c>
      <c r="AZ117" s="3" t="s">
        <v>93</v>
      </c>
      <c r="BA117" s="3" t="s">
        <v>93</v>
      </c>
      <c r="BB117" s="3" t="s">
        <v>93</v>
      </c>
      <c r="BC117" s="3">
        <v>5</v>
      </c>
      <c r="BD117" s="3">
        <v>4</v>
      </c>
      <c r="BE117" s="3">
        <v>5</v>
      </c>
      <c r="BF117" s="3">
        <v>3</v>
      </c>
      <c r="BG117" s="3">
        <v>5</v>
      </c>
      <c r="BH117" s="3">
        <v>5</v>
      </c>
      <c r="BI117" s="3">
        <v>3</v>
      </c>
      <c r="BJ117" s="3">
        <v>5</v>
      </c>
      <c r="BK117" s="3">
        <v>3</v>
      </c>
      <c r="BL117" s="3">
        <v>5</v>
      </c>
      <c r="BM117" s="3">
        <v>5</v>
      </c>
      <c r="BN117" s="3">
        <v>5</v>
      </c>
      <c r="BO117" s="3">
        <v>4</v>
      </c>
      <c r="BP117" s="3">
        <v>4</v>
      </c>
      <c r="BQ117" s="3">
        <v>3</v>
      </c>
      <c r="BR117" s="3">
        <v>4</v>
      </c>
      <c r="BS117" s="3">
        <v>5</v>
      </c>
      <c r="BT117" s="3">
        <v>5</v>
      </c>
      <c r="BU117" s="3">
        <v>3</v>
      </c>
      <c r="BV117" s="3">
        <v>5</v>
      </c>
      <c r="BW117" s="3">
        <v>3</v>
      </c>
      <c r="BX117" s="3">
        <v>4</v>
      </c>
      <c r="BY117" s="3">
        <v>5</v>
      </c>
      <c r="BZ117" s="3">
        <v>4</v>
      </c>
      <c r="CA117" s="3">
        <v>5</v>
      </c>
      <c r="CB117" s="3">
        <v>4</v>
      </c>
      <c r="CC117" s="3">
        <v>4</v>
      </c>
      <c r="CD117" s="3">
        <v>5</v>
      </c>
      <c r="CF117" s="3">
        <v>19</v>
      </c>
      <c r="CG117" s="3">
        <v>43</v>
      </c>
      <c r="CH117" s="3">
        <v>77</v>
      </c>
      <c r="CI117" s="6">
        <f>COUNTIF(AG117:BB117, "Dispone")/22</f>
        <v>0.86363636363636365</v>
      </c>
      <c r="CJ117" s="7">
        <f>AVERAGE(BC117:BL117)</f>
        <v>4.3</v>
      </c>
      <c r="CK117" s="15">
        <f>AVERAGE(BM117:CD117)</f>
        <v>4.2777777777777777</v>
      </c>
      <c r="CL117" s="9" t="str">
        <f>IF(AND(CI117&gt;50%, CJ117&gt;2.5, CK117&gt;2.5), "Compromiso", "")</f>
        <v>Compromiso</v>
      </c>
      <c r="CM117" s="9" t="str">
        <f>IF(AND(CI117&gt;75%, CJ117&gt;4, CK117&gt;4), "Liderazgo", "")</f>
        <v>Liderazgo</v>
      </c>
      <c r="CN117" s="9" t="str">
        <f>IF(AND(CI117&gt;90%, CJ117&gt;4.5, CK117&gt;4.5), "Transformación", "")</f>
        <v/>
      </c>
      <c r="CO117" s="9" t="s">
        <v>103</v>
      </c>
      <c r="CP117" s="3" t="s">
        <v>95</v>
      </c>
    </row>
    <row r="118" spans="1:94" ht="17.25" customHeight="1" x14ac:dyDescent="0.25">
      <c r="A118" s="10">
        <v>45968.40347222222</v>
      </c>
      <c r="B118" s="10">
        <v>45968.414583333331</v>
      </c>
      <c r="C118" s="3" t="s">
        <v>96</v>
      </c>
      <c r="D118" s="11">
        <v>193146172150</v>
      </c>
      <c r="E118" s="3">
        <v>974</v>
      </c>
      <c r="F118" s="3" t="b">
        <v>1</v>
      </c>
      <c r="G118" s="10">
        <v>45968.414583333331</v>
      </c>
      <c r="H118" s="3" t="s">
        <v>97</v>
      </c>
      <c r="I118" s="3">
        <v>42.339700000000001</v>
      </c>
      <c r="J118" s="3">
        <v>-3.7021999999999999</v>
      </c>
      <c r="K118" s="3" t="s">
        <v>98</v>
      </c>
      <c r="L118" s="3" t="s">
        <v>99</v>
      </c>
      <c r="M118" s="3" t="s">
        <v>889</v>
      </c>
      <c r="N118" s="3" t="s">
        <v>100</v>
      </c>
      <c r="O118" s="3" t="s">
        <v>980</v>
      </c>
      <c r="P118" s="3" t="s">
        <v>101</v>
      </c>
      <c r="Q118" s="3" t="s">
        <v>102</v>
      </c>
      <c r="R118" s="3">
        <v>1983</v>
      </c>
      <c r="S118" s="3">
        <v>553</v>
      </c>
      <c r="T118" s="3">
        <v>4254</v>
      </c>
      <c r="U118" s="3">
        <v>229</v>
      </c>
      <c r="V118" s="3">
        <v>0</v>
      </c>
      <c r="W118" s="3" t="s">
        <v>91</v>
      </c>
      <c r="X118" s="3">
        <v>0</v>
      </c>
      <c r="Y118" s="3" t="s">
        <v>92</v>
      </c>
      <c r="Z118" s="3">
        <v>5</v>
      </c>
      <c r="AA118" s="3">
        <v>1420959</v>
      </c>
      <c r="AB118" s="3">
        <v>22</v>
      </c>
      <c r="AC118" s="3">
        <v>16</v>
      </c>
      <c r="AD118" s="3">
        <v>14980</v>
      </c>
      <c r="AE118" s="3">
        <v>6000</v>
      </c>
      <c r="AF118" s="3">
        <v>10000000</v>
      </c>
      <c r="AG118" s="3" t="s">
        <v>93</v>
      </c>
      <c r="AH118" s="3" t="s">
        <v>93</v>
      </c>
      <c r="AI118" s="3" t="s">
        <v>93</v>
      </c>
      <c r="AJ118" s="3" t="s">
        <v>93</v>
      </c>
      <c r="AK118" s="3" t="s">
        <v>93</v>
      </c>
      <c r="AL118" s="3" t="s">
        <v>93</v>
      </c>
      <c r="AM118" s="3" t="s">
        <v>93</v>
      </c>
      <c r="AN118" s="3" t="s">
        <v>93</v>
      </c>
      <c r="AO118" s="3" t="s">
        <v>93</v>
      </c>
      <c r="AP118" s="3" t="s">
        <v>93</v>
      </c>
      <c r="AQ118" s="3" t="s">
        <v>93</v>
      </c>
      <c r="AR118" s="3" t="s">
        <v>93</v>
      </c>
      <c r="AS118" s="3" t="s">
        <v>93</v>
      </c>
      <c r="AT118" s="3" t="s">
        <v>93</v>
      </c>
      <c r="AU118" s="3" t="s">
        <v>93</v>
      </c>
      <c r="AV118" s="3" t="s">
        <v>93</v>
      </c>
      <c r="AW118" s="3" t="s">
        <v>94</v>
      </c>
      <c r="AX118" s="3" t="s">
        <v>93</v>
      </c>
      <c r="AY118" s="3" t="s">
        <v>93</v>
      </c>
      <c r="AZ118" s="3" t="s">
        <v>93</v>
      </c>
      <c r="BA118" s="3" t="s">
        <v>93</v>
      </c>
      <c r="BB118" s="3" t="s">
        <v>93</v>
      </c>
      <c r="BC118" s="3">
        <v>2</v>
      </c>
      <c r="BD118" s="3">
        <v>4</v>
      </c>
      <c r="BE118" s="3">
        <v>4</v>
      </c>
      <c r="BF118" s="3">
        <v>4</v>
      </c>
      <c r="BG118" s="3">
        <v>4</v>
      </c>
      <c r="BH118" s="3">
        <v>4</v>
      </c>
      <c r="BI118" s="3">
        <v>4</v>
      </c>
      <c r="BJ118" s="3">
        <v>3</v>
      </c>
      <c r="BK118" s="3">
        <v>3</v>
      </c>
      <c r="BL118" s="3">
        <v>4</v>
      </c>
      <c r="BM118" s="3">
        <v>5</v>
      </c>
      <c r="BN118" s="3">
        <v>4</v>
      </c>
      <c r="BO118" s="3">
        <v>4</v>
      </c>
      <c r="BP118" s="3">
        <v>4</v>
      </c>
      <c r="BQ118" s="3">
        <v>3</v>
      </c>
      <c r="BR118" s="3">
        <v>4</v>
      </c>
      <c r="BS118" s="3">
        <v>3</v>
      </c>
      <c r="BT118" s="3">
        <v>3</v>
      </c>
      <c r="BU118" s="3">
        <v>3</v>
      </c>
      <c r="BV118" s="3">
        <v>3</v>
      </c>
      <c r="BW118" s="3">
        <v>3</v>
      </c>
      <c r="BX118" s="3">
        <v>3</v>
      </c>
      <c r="BY118" s="3">
        <v>5</v>
      </c>
      <c r="BZ118" s="3">
        <v>5</v>
      </c>
      <c r="CA118" s="3">
        <v>5</v>
      </c>
      <c r="CB118" s="3">
        <v>5</v>
      </c>
      <c r="CC118" s="3">
        <v>5</v>
      </c>
      <c r="CD118" s="3">
        <v>4</v>
      </c>
      <c r="CF118" s="3">
        <v>21</v>
      </c>
      <c r="CG118" s="3">
        <v>36</v>
      </c>
      <c r="CH118" s="3">
        <v>71</v>
      </c>
      <c r="CI118" s="6">
        <f>COUNTIF(AG118:BB118, "Dispone")/22</f>
        <v>0.95454545454545459</v>
      </c>
      <c r="CJ118" s="7">
        <f>AVERAGE(BC118:BL118)</f>
        <v>3.6</v>
      </c>
      <c r="CK118" s="8">
        <f>AVERAGE(BM118:CD118)</f>
        <v>3.9444444444444446</v>
      </c>
      <c r="CL118" s="9" t="str">
        <f>IF(AND(CI118&gt;50%, CJ118&gt;2.5, CK118&gt;2.5), "Compromiso", "")</f>
        <v>Compromiso</v>
      </c>
      <c r="CM118" s="9" t="str">
        <f>IF(AND(CI118&gt;75%, CJ118&gt;4, CK118&gt;4), "Liderazgo", "")</f>
        <v/>
      </c>
      <c r="CN118" s="9" t="str">
        <f>IF(AND(CI118&gt;90%, CJ118&gt;4.5, CK118&gt;4.5), "Transformación", "")</f>
        <v/>
      </c>
      <c r="CO118" s="9" t="s">
        <v>95</v>
      </c>
      <c r="CP118" s="3" t="s">
        <v>95</v>
      </c>
    </row>
    <row r="119" spans="1:94" ht="17.25" customHeight="1" x14ac:dyDescent="0.25">
      <c r="A119" s="10">
        <v>45993.018750000003</v>
      </c>
      <c r="B119" s="10">
        <v>45993.029861111114</v>
      </c>
      <c r="C119" s="3" t="s">
        <v>96</v>
      </c>
      <c r="D119" s="3" t="s">
        <v>459</v>
      </c>
      <c r="E119" s="3">
        <v>960</v>
      </c>
      <c r="F119" s="3" t="b">
        <v>1</v>
      </c>
      <c r="G119" s="10">
        <v>45993.029861111114</v>
      </c>
      <c r="H119" s="3" t="s">
        <v>460</v>
      </c>
      <c r="I119" s="3">
        <v>-20.442799999999998</v>
      </c>
      <c r="J119" s="3">
        <v>-54.6464</v>
      </c>
      <c r="K119" s="9" t="s">
        <v>98</v>
      </c>
      <c r="L119" s="3" t="s">
        <v>461</v>
      </c>
      <c r="M119" s="3" t="s">
        <v>462</v>
      </c>
      <c r="N119" s="3" t="s">
        <v>463</v>
      </c>
      <c r="O119" s="3" t="s">
        <v>981</v>
      </c>
      <c r="P119" s="3">
        <v>3175107567</v>
      </c>
      <c r="Q119" s="3" t="s">
        <v>102</v>
      </c>
      <c r="R119" s="3">
        <v>1970</v>
      </c>
      <c r="S119" s="3">
        <v>710</v>
      </c>
      <c r="T119" s="3">
        <v>4290</v>
      </c>
      <c r="U119" s="3">
        <v>253</v>
      </c>
      <c r="V119" s="3">
        <v>0</v>
      </c>
      <c r="W119" s="3" t="s">
        <v>91</v>
      </c>
      <c r="X119" s="3">
        <v>2.5</v>
      </c>
      <c r="Y119" s="3" t="s">
        <v>153</v>
      </c>
      <c r="Z119" s="3">
        <v>14</v>
      </c>
      <c r="AA119" s="3">
        <v>1985055</v>
      </c>
      <c r="AB119" s="3">
        <v>1724</v>
      </c>
      <c r="AC119" s="3">
        <v>20</v>
      </c>
      <c r="AD119" s="3">
        <v>94658</v>
      </c>
      <c r="AE119" s="3">
        <v>4</v>
      </c>
      <c r="AF119" s="3">
        <v>195506</v>
      </c>
      <c r="AG119" s="3" t="s">
        <v>93</v>
      </c>
      <c r="AH119" s="3" t="s">
        <v>93</v>
      </c>
      <c r="AI119" s="3" t="s">
        <v>94</v>
      </c>
      <c r="AJ119" s="3" t="s">
        <v>93</v>
      </c>
      <c r="AK119" s="3" t="s">
        <v>93</v>
      </c>
      <c r="AL119" s="3" t="s">
        <v>93</v>
      </c>
      <c r="AM119" s="3" t="s">
        <v>93</v>
      </c>
      <c r="AN119" s="3" t="s">
        <v>93</v>
      </c>
      <c r="AO119" s="3" t="s">
        <v>93</v>
      </c>
      <c r="AP119" s="3" t="s">
        <v>93</v>
      </c>
      <c r="AQ119" s="3" t="s">
        <v>93</v>
      </c>
      <c r="AR119" s="3" t="s">
        <v>93</v>
      </c>
      <c r="AS119" s="3" t="s">
        <v>93</v>
      </c>
      <c r="AT119" s="3" t="s">
        <v>93</v>
      </c>
      <c r="AU119" s="3" t="s">
        <v>93</v>
      </c>
      <c r="AV119" s="3" t="s">
        <v>93</v>
      </c>
      <c r="AW119" s="3" t="s">
        <v>93</v>
      </c>
      <c r="AX119" s="3" t="s">
        <v>94</v>
      </c>
      <c r="AY119" s="3" t="s">
        <v>93</v>
      </c>
      <c r="AZ119" s="3" t="s">
        <v>93</v>
      </c>
      <c r="BA119" s="3" t="s">
        <v>93</v>
      </c>
      <c r="BB119" s="3" t="s">
        <v>93</v>
      </c>
      <c r="BC119" s="3">
        <v>5</v>
      </c>
      <c r="BD119" s="3">
        <v>5</v>
      </c>
      <c r="BE119" s="3">
        <v>4</v>
      </c>
      <c r="BF119" s="3">
        <v>5</v>
      </c>
      <c r="BG119" s="3">
        <v>4</v>
      </c>
      <c r="BH119" s="3">
        <v>5</v>
      </c>
      <c r="BI119" s="3">
        <v>4</v>
      </c>
      <c r="BJ119" s="3">
        <v>5</v>
      </c>
      <c r="BK119" s="3">
        <v>4</v>
      </c>
      <c r="BL119" s="3">
        <v>4</v>
      </c>
      <c r="BM119" s="3">
        <v>5</v>
      </c>
      <c r="BN119" s="3">
        <v>5</v>
      </c>
      <c r="BO119" s="3">
        <v>5</v>
      </c>
      <c r="BP119" s="3">
        <v>5</v>
      </c>
      <c r="BQ119" s="3">
        <v>3</v>
      </c>
      <c r="BR119" s="3">
        <v>5</v>
      </c>
      <c r="BS119" s="3">
        <v>4</v>
      </c>
      <c r="BT119" s="3">
        <v>5</v>
      </c>
      <c r="BU119" s="3">
        <v>5</v>
      </c>
      <c r="BV119" s="3">
        <v>5</v>
      </c>
      <c r="BW119" s="3">
        <v>5</v>
      </c>
      <c r="BX119" s="3">
        <v>5</v>
      </c>
      <c r="BY119" s="3">
        <v>5</v>
      </c>
      <c r="BZ119" s="3">
        <v>5</v>
      </c>
      <c r="CA119" s="3">
        <v>5</v>
      </c>
      <c r="CB119" s="3">
        <v>5</v>
      </c>
      <c r="CC119" s="3">
        <v>5</v>
      </c>
      <c r="CD119" s="3">
        <v>5</v>
      </c>
      <c r="CF119" s="3">
        <v>20</v>
      </c>
      <c r="CG119" s="3">
        <v>45</v>
      </c>
      <c r="CH119" s="3">
        <v>87</v>
      </c>
      <c r="CI119" s="6">
        <f>COUNTIF(AG119:BB119, "Dispone")/22</f>
        <v>0.90909090909090906</v>
      </c>
      <c r="CJ119" s="7">
        <f>AVERAGE(BC119:BL119)</f>
        <v>4.5</v>
      </c>
      <c r="CK119" s="15">
        <f>AVERAGE(BM119:CD119)</f>
        <v>4.833333333333333</v>
      </c>
      <c r="CL119" s="9" t="str">
        <f>IF(AND(CI119&gt;50%, CJ119&gt;2.5, CK119&gt;2.5), "Compromiso", "")</f>
        <v>Compromiso</v>
      </c>
      <c r="CM119" s="9" t="str">
        <f>IF(AND(CI119&gt;75%, CJ119&gt;4, CK119&gt;4), "Liderazgo", "")</f>
        <v>Liderazgo</v>
      </c>
      <c r="CN119" s="9" t="str">
        <f>IF(AND(CI119&gt;90%, CJ119&gt;4.5, CK119&gt;4.5), "Transformación", "")</f>
        <v/>
      </c>
      <c r="CO119" s="9" t="s">
        <v>103</v>
      </c>
      <c r="CP119" s="3" t="s">
        <v>95</v>
      </c>
    </row>
    <row r="120" spans="1:94" ht="17.25" customHeight="1" x14ac:dyDescent="0.25">
      <c r="A120" s="16">
        <v>45961.890277777777</v>
      </c>
      <c r="B120" s="16">
        <v>45961.901388888888</v>
      </c>
      <c r="C120" s="3" t="s">
        <v>96</v>
      </c>
      <c r="D120" s="3" t="s">
        <v>391</v>
      </c>
      <c r="E120" s="3">
        <v>945</v>
      </c>
      <c r="F120" s="3" t="b">
        <v>1</v>
      </c>
      <c r="G120" s="16">
        <v>45961.901388888888</v>
      </c>
      <c r="H120" s="3" t="s">
        <v>392</v>
      </c>
      <c r="I120" s="3">
        <v>-33.134300000000003</v>
      </c>
      <c r="J120" s="3">
        <v>-64.351299999999995</v>
      </c>
      <c r="K120" s="3" t="s">
        <v>98</v>
      </c>
      <c r="L120" s="3" t="s">
        <v>393</v>
      </c>
      <c r="M120" s="3" t="s">
        <v>890</v>
      </c>
      <c r="N120" s="3" t="s">
        <v>394</v>
      </c>
      <c r="O120" s="3" t="s">
        <v>982</v>
      </c>
      <c r="P120" s="3">
        <v>928333848</v>
      </c>
      <c r="Q120" s="3" t="s">
        <v>130</v>
      </c>
      <c r="R120" s="3">
        <v>2014</v>
      </c>
      <c r="S120" s="3">
        <v>230</v>
      </c>
      <c r="T120" s="3">
        <v>1458</v>
      </c>
      <c r="U120" s="3">
        <v>0</v>
      </c>
      <c r="V120" s="3">
        <v>25</v>
      </c>
      <c r="W120" s="3" t="s">
        <v>91</v>
      </c>
      <c r="X120" s="3">
        <v>40</v>
      </c>
      <c r="Y120" s="3" t="s">
        <v>153</v>
      </c>
      <c r="Z120" s="3">
        <v>5</v>
      </c>
      <c r="AA120" s="3">
        <v>379003</v>
      </c>
      <c r="AB120" s="3">
        <v>31567</v>
      </c>
      <c r="AC120" s="3">
        <v>35</v>
      </c>
      <c r="AD120" s="3">
        <v>8832</v>
      </c>
      <c r="AE120" s="3">
        <v>2175</v>
      </c>
      <c r="AF120" s="3">
        <v>0</v>
      </c>
      <c r="AG120" s="3" t="s">
        <v>93</v>
      </c>
      <c r="AH120" s="3" t="s">
        <v>93</v>
      </c>
      <c r="AI120" s="3" t="s">
        <v>93</v>
      </c>
      <c r="AJ120" s="3" t="s">
        <v>93</v>
      </c>
      <c r="AK120" s="3" t="s">
        <v>93</v>
      </c>
      <c r="AL120" s="3" t="s">
        <v>93</v>
      </c>
      <c r="AM120" s="3" t="s">
        <v>93</v>
      </c>
      <c r="AN120" s="3" t="s">
        <v>93</v>
      </c>
      <c r="AO120" s="3" t="s">
        <v>93</v>
      </c>
      <c r="AP120" s="3" t="s">
        <v>93</v>
      </c>
      <c r="AQ120" s="3" t="s">
        <v>93</v>
      </c>
      <c r="AR120" s="3" t="s">
        <v>93</v>
      </c>
      <c r="AS120" s="3" t="s">
        <v>93</v>
      </c>
      <c r="AT120" s="3" t="s">
        <v>93</v>
      </c>
      <c r="AU120" s="3" t="s">
        <v>94</v>
      </c>
      <c r="AV120" s="3" t="s">
        <v>93</v>
      </c>
      <c r="AW120" s="3" t="s">
        <v>94</v>
      </c>
      <c r="AX120" s="3" t="s">
        <v>94</v>
      </c>
      <c r="AY120" s="3" t="s">
        <v>94</v>
      </c>
      <c r="AZ120" s="3" t="s">
        <v>93</v>
      </c>
      <c r="BA120" s="3" t="s">
        <v>93</v>
      </c>
      <c r="BB120" s="3" t="s">
        <v>93</v>
      </c>
      <c r="BC120" s="3">
        <v>3</v>
      </c>
      <c r="BD120" s="3">
        <v>4</v>
      </c>
      <c r="BE120" s="3">
        <v>2</v>
      </c>
      <c r="BF120" s="3">
        <v>4</v>
      </c>
      <c r="BG120" s="3">
        <v>4</v>
      </c>
      <c r="BH120" s="3">
        <v>3</v>
      </c>
      <c r="BI120" s="3">
        <v>2</v>
      </c>
      <c r="BJ120" s="3">
        <v>4</v>
      </c>
      <c r="BK120" s="3">
        <v>3</v>
      </c>
      <c r="BL120" s="3">
        <v>2</v>
      </c>
      <c r="BM120" s="3">
        <v>4</v>
      </c>
      <c r="BN120" s="3">
        <v>2</v>
      </c>
      <c r="BO120" s="3">
        <v>2</v>
      </c>
      <c r="BP120" s="3">
        <v>5</v>
      </c>
      <c r="BQ120" s="3">
        <v>4</v>
      </c>
      <c r="BR120" s="3">
        <v>3</v>
      </c>
      <c r="BS120" s="3">
        <v>2</v>
      </c>
      <c r="BT120" s="3">
        <v>2</v>
      </c>
      <c r="BU120" s="3">
        <v>3</v>
      </c>
      <c r="BV120" s="3">
        <v>3</v>
      </c>
      <c r="BW120" s="3">
        <v>3</v>
      </c>
      <c r="BX120" s="3">
        <v>4</v>
      </c>
      <c r="BY120" s="3">
        <v>4</v>
      </c>
      <c r="BZ120" s="3">
        <v>5</v>
      </c>
      <c r="CA120" s="3">
        <v>5</v>
      </c>
      <c r="CB120" s="3">
        <v>4</v>
      </c>
      <c r="CC120" s="3">
        <v>5</v>
      </c>
      <c r="CD120" s="3">
        <v>3</v>
      </c>
      <c r="CF120" s="3">
        <v>18</v>
      </c>
      <c r="CG120" s="3">
        <v>31</v>
      </c>
      <c r="CH120" s="3">
        <v>63</v>
      </c>
      <c r="CI120" s="6">
        <f>COUNTIF(AG120:BB120, "Dispone")/22</f>
        <v>0.81818181818181823</v>
      </c>
      <c r="CJ120" s="7">
        <f>AVERAGE(BC120:BL120)</f>
        <v>3.1</v>
      </c>
      <c r="CK120" s="15">
        <f>AVERAGE(BM120:CD120)</f>
        <v>3.5</v>
      </c>
      <c r="CL120" s="9" t="str">
        <f>IF(AND(CI120&gt;50%, CJ120&gt;2.5, CK120&gt;2.5), "Compromiso", "")</f>
        <v>Compromiso</v>
      </c>
      <c r="CM120" s="9" t="str">
        <f>IF(AND(CI120&gt;75%, CJ120&gt;4, CK120&gt;4), "Liderazgo", "")</f>
        <v/>
      </c>
      <c r="CN120" s="9" t="str">
        <f>IF(AND(CI120&gt;90%, CJ120&gt;4.5, CK120&gt;4.5), "Transformación", "")</f>
        <v/>
      </c>
      <c r="CO120" s="9" t="s">
        <v>95</v>
      </c>
      <c r="CP120" s="3" t="s">
        <v>95</v>
      </c>
    </row>
    <row r="121" spans="1:94" ht="17.25" customHeight="1" x14ac:dyDescent="0.25">
      <c r="A121" s="12">
        <v>45897.640729166669</v>
      </c>
      <c r="B121" s="12">
        <v>45897.651655092595</v>
      </c>
      <c r="C121" s="9" t="s">
        <v>96</v>
      </c>
      <c r="D121" s="9" t="s">
        <v>441</v>
      </c>
      <c r="E121" s="13">
        <v>943</v>
      </c>
      <c r="F121" s="9" t="s">
        <v>105</v>
      </c>
      <c r="G121" s="12">
        <v>45897.651662476848</v>
      </c>
      <c r="H121" s="9" t="s">
        <v>442</v>
      </c>
      <c r="I121" s="13">
        <v>-31.646599999999999</v>
      </c>
      <c r="J121" s="13">
        <v>-60.710099999999997</v>
      </c>
      <c r="K121" s="9" t="s">
        <v>98</v>
      </c>
      <c r="L121" s="9" t="s">
        <v>443</v>
      </c>
      <c r="M121" s="3" t="s">
        <v>891</v>
      </c>
      <c r="N121" s="9" t="s">
        <v>444</v>
      </c>
      <c r="O121" s="3" t="s">
        <v>983</v>
      </c>
      <c r="P121" s="14" t="s">
        <v>1021</v>
      </c>
      <c r="Q121" s="9" t="s">
        <v>130</v>
      </c>
      <c r="R121" s="3">
        <v>1993</v>
      </c>
      <c r="S121" s="3">
        <v>2339</v>
      </c>
      <c r="T121" s="3">
        <v>14628</v>
      </c>
      <c r="U121" s="3">
        <v>1948</v>
      </c>
      <c r="V121" s="3">
        <v>148</v>
      </c>
      <c r="W121" s="9" t="s">
        <v>91</v>
      </c>
      <c r="X121" s="3">
        <v>3.4</v>
      </c>
      <c r="Y121" s="9" t="s">
        <v>92</v>
      </c>
      <c r="Z121" s="3">
        <v>12</v>
      </c>
      <c r="AA121" s="3">
        <v>68543000</v>
      </c>
      <c r="AB121" s="3">
        <v>439</v>
      </c>
      <c r="AC121" s="3">
        <v>35</v>
      </c>
      <c r="AD121" s="3">
        <v>15938</v>
      </c>
      <c r="AE121" s="3">
        <v>7</v>
      </c>
      <c r="AF121" s="3">
        <v>292654</v>
      </c>
      <c r="AG121" s="9" t="s">
        <v>93</v>
      </c>
      <c r="AH121" s="9" t="s">
        <v>93</v>
      </c>
      <c r="AI121" s="9" t="s">
        <v>93</v>
      </c>
      <c r="AJ121" s="9" t="s">
        <v>93</v>
      </c>
      <c r="AK121" s="9" t="s">
        <v>93</v>
      </c>
      <c r="AL121" s="9" t="s">
        <v>93</v>
      </c>
      <c r="AM121" s="9" t="s">
        <v>93</v>
      </c>
      <c r="AN121" s="9" t="s">
        <v>93</v>
      </c>
      <c r="AO121" s="9" t="s">
        <v>93</v>
      </c>
      <c r="AP121" s="9" t="s">
        <v>94</v>
      </c>
      <c r="AQ121" s="9" t="s">
        <v>93</v>
      </c>
      <c r="AR121" s="9" t="s">
        <v>93</v>
      </c>
      <c r="AS121" s="9" t="s">
        <v>93</v>
      </c>
      <c r="AT121" s="9" t="s">
        <v>93</v>
      </c>
      <c r="AU121" s="9" t="s">
        <v>93</v>
      </c>
      <c r="AV121" s="9" t="s">
        <v>93</v>
      </c>
      <c r="AW121" s="9" t="s">
        <v>93</v>
      </c>
      <c r="AX121" s="9" t="s">
        <v>94</v>
      </c>
      <c r="AY121" s="9" t="s">
        <v>93</v>
      </c>
      <c r="AZ121" s="9" t="s">
        <v>93</v>
      </c>
      <c r="BA121" s="9" t="s">
        <v>93</v>
      </c>
      <c r="BB121" s="9" t="s">
        <v>93</v>
      </c>
      <c r="BC121" s="11">
        <v>5</v>
      </c>
      <c r="BD121" s="11">
        <v>5</v>
      </c>
      <c r="BE121" s="11">
        <v>5</v>
      </c>
      <c r="BF121" s="11">
        <v>3</v>
      </c>
      <c r="BG121" s="11">
        <v>3</v>
      </c>
      <c r="BH121" s="11">
        <v>5</v>
      </c>
      <c r="BI121" s="11">
        <v>2</v>
      </c>
      <c r="BJ121" s="11">
        <v>5</v>
      </c>
      <c r="BK121" s="11">
        <v>4</v>
      </c>
      <c r="BL121" s="11">
        <v>5</v>
      </c>
      <c r="BM121" s="11">
        <v>5</v>
      </c>
      <c r="BN121" s="11">
        <v>5</v>
      </c>
      <c r="BO121" s="11">
        <v>5</v>
      </c>
      <c r="BP121" s="11">
        <v>5</v>
      </c>
      <c r="BQ121" s="11">
        <v>5</v>
      </c>
      <c r="BR121" s="11">
        <v>5</v>
      </c>
      <c r="BS121" s="11">
        <v>5</v>
      </c>
      <c r="BT121" s="11">
        <v>5</v>
      </c>
      <c r="BU121" s="11">
        <v>3</v>
      </c>
      <c r="BV121" s="11">
        <v>5</v>
      </c>
      <c r="BW121" s="11">
        <v>5</v>
      </c>
      <c r="BX121" s="11">
        <v>5</v>
      </c>
      <c r="BY121" s="11">
        <v>5</v>
      </c>
      <c r="BZ121" s="11">
        <v>5</v>
      </c>
      <c r="CA121" s="11">
        <v>5</v>
      </c>
      <c r="CB121" s="11">
        <v>5</v>
      </c>
      <c r="CC121" s="11">
        <v>5</v>
      </c>
      <c r="CD121" s="11">
        <v>5</v>
      </c>
      <c r="CE121" s="9"/>
      <c r="CF121" s="3">
        <v>20</v>
      </c>
      <c r="CG121" s="3">
        <v>42</v>
      </c>
      <c r="CH121" s="3">
        <v>88</v>
      </c>
      <c r="CI121" s="6">
        <f>COUNTIF(AG121:BB121, "Dispone")/22</f>
        <v>0.90909090909090906</v>
      </c>
      <c r="CJ121" s="7">
        <f>AVERAGE(BC121:BL121)</f>
        <v>4.2</v>
      </c>
      <c r="CK121" s="15">
        <f>AVERAGE(BM121:CD121)</f>
        <v>4.8888888888888893</v>
      </c>
      <c r="CL121" s="9" t="str">
        <f>IF(AND(CI121&gt;50%, CJ121&gt;2.5, CK121&gt;2.5), "Compromiso", "")</f>
        <v>Compromiso</v>
      </c>
      <c r="CM121" s="9" t="str">
        <f>IF(AND(CI121&gt;75%, CJ121&gt;4, CK121&gt;4), "Liderazgo", "")</f>
        <v>Liderazgo</v>
      </c>
      <c r="CN121" s="9" t="str">
        <f>IF(AND(CI121&gt;90%, CJ121&gt;4.5, CK121&gt;4.5), "Transformación", "")</f>
        <v/>
      </c>
      <c r="CO121" s="9" t="s">
        <v>103</v>
      </c>
      <c r="CP121" s="3" t="s">
        <v>95</v>
      </c>
    </row>
    <row r="122" spans="1:94" ht="17.25" customHeight="1" x14ac:dyDescent="0.25">
      <c r="A122" s="16">
        <v>45986.659722222219</v>
      </c>
      <c r="B122" s="16">
        <v>45986.670138888891</v>
      </c>
      <c r="C122" s="3" t="s">
        <v>96</v>
      </c>
      <c r="D122" s="11">
        <v>200129244244</v>
      </c>
      <c r="E122" s="3">
        <v>936</v>
      </c>
      <c r="F122" s="3" t="b">
        <v>1</v>
      </c>
      <c r="G122" s="16">
        <v>45986.670138888891</v>
      </c>
      <c r="H122" s="3" t="s">
        <v>238</v>
      </c>
      <c r="I122" s="3">
        <v>-15.597</v>
      </c>
      <c r="J122" s="3">
        <v>-56.095799999999997</v>
      </c>
      <c r="K122" s="3" t="s">
        <v>113</v>
      </c>
      <c r="L122" s="3" t="s">
        <v>239</v>
      </c>
      <c r="M122" s="3" t="s">
        <v>892</v>
      </c>
      <c r="N122" s="3" t="s">
        <v>240</v>
      </c>
      <c r="O122" s="3" t="s">
        <v>984</v>
      </c>
      <c r="P122" s="3" t="s">
        <v>241</v>
      </c>
      <c r="Q122" s="3" t="s">
        <v>90</v>
      </c>
      <c r="R122" s="3">
        <v>2008</v>
      </c>
      <c r="S122" s="3">
        <v>1149</v>
      </c>
      <c r="T122" s="3">
        <v>9995</v>
      </c>
      <c r="U122" s="3">
        <v>16211</v>
      </c>
      <c r="V122" s="3">
        <v>0</v>
      </c>
      <c r="W122" s="3" t="s">
        <v>118</v>
      </c>
      <c r="X122" s="3">
        <v>0.1</v>
      </c>
      <c r="Y122" s="3" t="s">
        <v>92</v>
      </c>
      <c r="Z122" s="3">
        <v>400</v>
      </c>
      <c r="AA122" s="3">
        <v>3417258</v>
      </c>
      <c r="AB122" s="3">
        <v>0</v>
      </c>
      <c r="AC122" s="3">
        <v>10</v>
      </c>
      <c r="AD122" s="3">
        <v>110813</v>
      </c>
      <c r="AE122" s="3">
        <v>40</v>
      </c>
      <c r="AF122" s="3">
        <v>0</v>
      </c>
      <c r="AG122" s="3" t="s">
        <v>93</v>
      </c>
      <c r="AH122" s="3" t="s">
        <v>93</v>
      </c>
      <c r="AI122" s="3" t="s">
        <v>94</v>
      </c>
      <c r="AJ122" s="3" t="s">
        <v>93</v>
      </c>
      <c r="AK122" s="3" t="s">
        <v>93</v>
      </c>
      <c r="AL122" s="3" t="s">
        <v>93</v>
      </c>
      <c r="AM122" s="3" t="s">
        <v>93</v>
      </c>
      <c r="AN122" s="3" t="s">
        <v>93</v>
      </c>
      <c r="AO122" s="3" t="s">
        <v>93</v>
      </c>
      <c r="AP122" s="3" t="s">
        <v>93</v>
      </c>
      <c r="AQ122" s="3" t="s">
        <v>93</v>
      </c>
      <c r="AR122" s="3" t="s">
        <v>93</v>
      </c>
      <c r="AS122" s="3" t="s">
        <v>93</v>
      </c>
      <c r="AT122" s="3" t="s">
        <v>93</v>
      </c>
      <c r="AU122" s="3" t="s">
        <v>94</v>
      </c>
      <c r="AV122" s="3" t="s">
        <v>93</v>
      </c>
      <c r="AW122" s="3" t="s">
        <v>93</v>
      </c>
      <c r="AX122" s="3" t="s">
        <v>93</v>
      </c>
      <c r="AY122" s="3" t="s">
        <v>94</v>
      </c>
      <c r="AZ122" s="3" t="s">
        <v>93</v>
      </c>
      <c r="BA122" s="3" t="s">
        <v>93</v>
      </c>
      <c r="BB122" s="3" t="s">
        <v>93</v>
      </c>
      <c r="BC122" s="3">
        <v>5</v>
      </c>
      <c r="BD122" s="3">
        <v>5</v>
      </c>
      <c r="BE122" s="3">
        <v>2</v>
      </c>
      <c r="BF122" s="3">
        <v>5</v>
      </c>
      <c r="BG122" s="3">
        <v>2</v>
      </c>
      <c r="BH122" s="3">
        <v>2</v>
      </c>
      <c r="BI122" s="3">
        <v>3</v>
      </c>
      <c r="BJ122" s="3">
        <v>3</v>
      </c>
      <c r="BK122" s="3">
        <v>3</v>
      </c>
      <c r="BL122" s="3">
        <v>2</v>
      </c>
      <c r="BM122" s="3">
        <v>5</v>
      </c>
      <c r="BN122" s="3">
        <v>5</v>
      </c>
      <c r="BO122" s="3">
        <v>4</v>
      </c>
      <c r="BP122" s="3">
        <v>5</v>
      </c>
      <c r="BQ122" s="3">
        <v>4</v>
      </c>
      <c r="BR122" s="3">
        <v>5</v>
      </c>
      <c r="BS122" s="3">
        <v>5</v>
      </c>
      <c r="BT122" s="3">
        <v>5</v>
      </c>
      <c r="BU122" s="3">
        <v>3</v>
      </c>
      <c r="BV122" s="3">
        <v>2</v>
      </c>
      <c r="BW122" s="3">
        <v>5</v>
      </c>
      <c r="BX122" s="3">
        <v>5</v>
      </c>
      <c r="BY122" s="3">
        <v>5</v>
      </c>
      <c r="BZ122" s="3">
        <v>5</v>
      </c>
      <c r="CA122" s="3">
        <v>5</v>
      </c>
      <c r="CB122" s="3">
        <v>5</v>
      </c>
      <c r="CC122" s="3">
        <v>5</v>
      </c>
      <c r="CD122" s="3">
        <v>5</v>
      </c>
      <c r="CF122" s="3">
        <v>19</v>
      </c>
      <c r="CG122" s="3">
        <v>32</v>
      </c>
      <c r="CH122" s="3">
        <v>83</v>
      </c>
      <c r="CI122" s="6">
        <f>COUNTIF(AG122:BB122, "Dispone")/22</f>
        <v>0.86363636363636365</v>
      </c>
      <c r="CJ122" s="7">
        <f>AVERAGE(BC122:BL122)</f>
        <v>3.2</v>
      </c>
      <c r="CK122" s="15">
        <f>AVERAGE(BM122:CD122)</f>
        <v>4.6111111111111107</v>
      </c>
      <c r="CL122" s="9" t="str">
        <f>IF(AND(CI122&gt;50%, CJ122&gt;2.5, CK122&gt;2.5), "Compromiso", "")</f>
        <v>Compromiso</v>
      </c>
      <c r="CM122" s="9" t="str">
        <f>IF(AND(CI122&gt;75%, CJ122&gt;4, CK122&gt;4), "Liderazgo", "")</f>
        <v/>
      </c>
      <c r="CN122" s="9" t="str">
        <f>IF(AND(CI122&gt;90%, CJ122&gt;4.5, CK122&gt;4.5), "Transformación", "")</f>
        <v/>
      </c>
      <c r="CO122" s="9" t="s">
        <v>95</v>
      </c>
      <c r="CP122" s="3" t="s">
        <v>103</v>
      </c>
    </row>
    <row r="123" spans="1:94" ht="17.25" customHeight="1" x14ac:dyDescent="0.25">
      <c r="A123" s="16">
        <v>45961.914583333331</v>
      </c>
      <c r="B123" s="16">
        <v>45961.925000000003</v>
      </c>
      <c r="C123" s="3" t="s">
        <v>96</v>
      </c>
      <c r="D123" s="3" t="s">
        <v>563</v>
      </c>
      <c r="E123" s="3">
        <v>901</v>
      </c>
      <c r="F123" s="3" t="b">
        <v>1</v>
      </c>
      <c r="G123" s="16">
        <v>45961.925000000003</v>
      </c>
      <c r="H123" s="3" t="s">
        <v>564</v>
      </c>
      <c r="I123" s="3">
        <v>-12.045999999999999</v>
      </c>
      <c r="J123" s="3">
        <v>-77.030500000000004</v>
      </c>
      <c r="K123" s="3" t="s">
        <v>98</v>
      </c>
      <c r="L123" s="3" t="s">
        <v>565</v>
      </c>
      <c r="M123" s="3" t="s">
        <v>107</v>
      </c>
      <c r="O123" s="3" t="s">
        <v>911</v>
      </c>
      <c r="Q123" s="3" t="s">
        <v>130</v>
      </c>
      <c r="AG123" s="3" t="s">
        <v>94</v>
      </c>
      <c r="AH123" s="3" t="s">
        <v>93</v>
      </c>
      <c r="AI123" s="5"/>
      <c r="AJ123" s="3" t="s">
        <v>93</v>
      </c>
      <c r="AK123" s="3" t="s">
        <v>93</v>
      </c>
      <c r="AL123" s="3" t="s">
        <v>93</v>
      </c>
      <c r="AM123" s="3" t="s">
        <v>93</v>
      </c>
      <c r="AN123" s="3" t="s">
        <v>93</v>
      </c>
      <c r="AO123" s="3" t="s">
        <v>93</v>
      </c>
      <c r="AP123" s="3" t="s">
        <v>94</v>
      </c>
      <c r="AQ123" s="3" t="s">
        <v>93</v>
      </c>
      <c r="AR123" s="3" t="s">
        <v>93</v>
      </c>
      <c r="AS123" s="3" t="s">
        <v>93</v>
      </c>
      <c r="AT123" s="3" t="s">
        <v>93</v>
      </c>
      <c r="AU123" s="3" t="s">
        <v>93</v>
      </c>
      <c r="AV123" s="3" t="s">
        <v>93</v>
      </c>
      <c r="AW123" s="3" t="s">
        <v>93</v>
      </c>
      <c r="AX123" s="3" t="s">
        <v>93</v>
      </c>
      <c r="AY123" s="3" t="s">
        <v>93</v>
      </c>
      <c r="AZ123" s="3" t="s">
        <v>93</v>
      </c>
      <c r="BA123" s="3" t="s">
        <v>93</v>
      </c>
      <c r="BB123" s="3" t="s">
        <v>93</v>
      </c>
      <c r="BC123" s="3">
        <v>5</v>
      </c>
      <c r="BD123" s="3">
        <v>5</v>
      </c>
      <c r="BE123" s="3">
        <v>5</v>
      </c>
      <c r="BF123" s="3">
        <v>5</v>
      </c>
      <c r="BG123" s="3">
        <v>5</v>
      </c>
      <c r="BH123" s="3">
        <v>4</v>
      </c>
      <c r="BI123" s="3">
        <v>5</v>
      </c>
      <c r="BJ123" s="3">
        <v>5</v>
      </c>
      <c r="BK123" s="3">
        <v>3</v>
      </c>
      <c r="BL123" s="3">
        <v>5</v>
      </c>
      <c r="BM123" s="3">
        <v>1</v>
      </c>
      <c r="BN123" s="3">
        <v>5</v>
      </c>
      <c r="BO123" s="3">
        <v>5</v>
      </c>
      <c r="BP123" s="3">
        <v>5</v>
      </c>
      <c r="BQ123" s="3">
        <v>5</v>
      </c>
      <c r="BR123" s="3">
        <v>5</v>
      </c>
      <c r="BS123" s="3">
        <v>5</v>
      </c>
      <c r="BT123" s="3">
        <v>5</v>
      </c>
      <c r="BU123" s="3">
        <v>5</v>
      </c>
      <c r="BV123" s="3">
        <v>5</v>
      </c>
      <c r="BW123" s="3">
        <v>5</v>
      </c>
      <c r="BX123" s="3">
        <v>5</v>
      </c>
      <c r="BY123" s="3">
        <v>5</v>
      </c>
      <c r="BZ123" s="3">
        <v>5</v>
      </c>
      <c r="CA123" s="3">
        <v>5</v>
      </c>
      <c r="CB123" s="3">
        <v>5</v>
      </c>
      <c r="CC123" s="3">
        <v>5</v>
      </c>
      <c r="CD123" s="3">
        <v>5</v>
      </c>
      <c r="CF123" s="3">
        <f>COUNTIF(AG123:BB123, "Dispone")</f>
        <v>19</v>
      </c>
      <c r="CG123" s="3">
        <v>47</v>
      </c>
      <c r="CH123" s="3">
        <f>SUM(BM123:CD123)</f>
        <v>86</v>
      </c>
      <c r="CI123" s="6">
        <f>COUNTIF(AG123:BB123, "Dispone")/22</f>
        <v>0.86363636363636365</v>
      </c>
      <c r="CJ123" s="7">
        <f>AVERAGE(BC123:BL123)</f>
        <v>4.7</v>
      </c>
      <c r="CK123" s="8">
        <f>AVERAGE(BM123:CD123)</f>
        <v>4.7777777777777777</v>
      </c>
      <c r="CL123" s="9" t="str">
        <f>IF(AND(CI123&gt;50%, CJ123&gt;2.5, CK123&gt;2.5), "Compromiso", "")</f>
        <v>Compromiso</v>
      </c>
      <c r="CM123" s="9" t="str">
        <f>IF(AND(CI123&gt;75%, CJ123&gt;4, CK123&gt;4), "Liderazgo", "")</f>
        <v>Liderazgo</v>
      </c>
      <c r="CN123" s="9" t="str">
        <f>IF(AND(CI123&gt;90%, CJ123&gt;4.5, CK123&gt;4.5), "Transformación", "")</f>
        <v/>
      </c>
      <c r="CO123" s="9" t="s">
        <v>103</v>
      </c>
      <c r="CP123" s="3" t="s">
        <v>95</v>
      </c>
    </row>
    <row r="124" spans="1:94" ht="17.25" customHeight="1" x14ac:dyDescent="0.25">
      <c r="A124" s="12">
        <v>45929.989722222221</v>
      </c>
      <c r="B124" s="12">
        <v>45929.999027777776</v>
      </c>
      <c r="C124" s="9" t="s">
        <v>96</v>
      </c>
      <c r="D124" s="9" t="s">
        <v>613</v>
      </c>
      <c r="E124" s="13">
        <v>803</v>
      </c>
      <c r="F124" s="9" t="s">
        <v>105</v>
      </c>
      <c r="G124" s="12">
        <v>45929.999040844908</v>
      </c>
      <c r="H124" s="9" t="s">
        <v>614</v>
      </c>
      <c r="I124" s="13">
        <v>-33.5901</v>
      </c>
      <c r="J124" s="13">
        <v>-70.695599999999999</v>
      </c>
      <c r="K124" s="9" t="s">
        <v>98</v>
      </c>
      <c r="L124" s="9" t="s">
        <v>615</v>
      </c>
      <c r="M124" s="3" t="s">
        <v>616</v>
      </c>
      <c r="N124" s="9" t="s">
        <v>617</v>
      </c>
      <c r="O124" s="3" t="s">
        <v>618</v>
      </c>
      <c r="P124" s="9" t="s">
        <v>619</v>
      </c>
      <c r="Q124" s="9" t="s">
        <v>124</v>
      </c>
      <c r="R124" s="3">
        <v>1988</v>
      </c>
      <c r="S124" s="3">
        <v>1533</v>
      </c>
      <c r="T124" s="3">
        <v>23684</v>
      </c>
      <c r="U124" s="3">
        <v>4929</v>
      </c>
      <c r="V124" s="3">
        <v>1652</v>
      </c>
      <c r="W124" s="9" t="s">
        <v>91</v>
      </c>
      <c r="X124" s="3">
        <v>3.2</v>
      </c>
      <c r="Y124" s="9" t="s">
        <v>92</v>
      </c>
      <c r="Z124" s="3">
        <v>40</v>
      </c>
      <c r="AA124" s="3">
        <v>0</v>
      </c>
      <c r="AB124" s="3">
        <v>0</v>
      </c>
      <c r="AC124" s="3">
        <v>0</v>
      </c>
      <c r="AD124" s="3">
        <v>0</v>
      </c>
      <c r="AE124" s="3">
        <v>0</v>
      </c>
      <c r="AF124" s="3">
        <v>0</v>
      </c>
      <c r="AG124" s="9" t="s">
        <v>93</v>
      </c>
      <c r="AH124" s="9" t="s">
        <v>93</v>
      </c>
      <c r="AI124" s="9" t="s">
        <v>94</v>
      </c>
      <c r="AJ124" s="9" t="s">
        <v>93</v>
      </c>
      <c r="AK124" s="9" t="s">
        <v>93</v>
      </c>
      <c r="AL124" s="9" t="s">
        <v>93</v>
      </c>
      <c r="AM124" s="9" t="s">
        <v>93</v>
      </c>
      <c r="AN124" s="9" t="s">
        <v>93</v>
      </c>
      <c r="AO124" s="9" t="s">
        <v>93</v>
      </c>
      <c r="AP124" s="9" t="s">
        <v>93</v>
      </c>
      <c r="AQ124" s="9" t="s">
        <v>94</v>
      </c>
      <c r="AR124" s="9" t="s">
        <v>93</v>
      </c>
      <c r="AS124" s="9" t="s">
        <v>93</v>
      </c>
      <c r="AT124" s="9" t="s">
        <v>94</v>
      </c>
      <c r="AU124" s="9" t="s">
        <v>93</v>
      </c>
      <c r="AV124" s="9" t="s">
        <v>93</v>
      </c>
      <c r="AW124" s="9" t="s">
        <v>93</v>
      </c>
      <c r="AX124" s="9" t="s">
        <v>93</v>
      </c>
      <c r="AY124" s="9" t="s">
        <v>93</v>
      </c>
      <c r="AZ124" s="9" t="s">
        <v>94</v>
      </c>
      <c r="BA124" s="9" t="s">
        <v>93</v>
      </c>
      <c r="BB124" s="9" t="s">
        <v>93</v>
      </c>
      <c r="BC124" s="11">
        <v>2</v>
      </c>
      <c r="BD124" s="11">
        <v>2</v>
      </c>
      <c r="BE124" s="11">
        <v>1</v>
      </c>
      <c r="BF124" s="11">
        <v>2</v>
      </c>
      <c r="BG124" s="11">
        <v>1</v>
      </c>
      <c r="BH124" s="11">
        <v>2</v>
      </c>
      <c r="BI124" s="11">
        <v>2</v>
      </c>
      <c r="BJ124" s="11">
        <v>2</v>
      </c>
      <c r="BK124" s="11">
        <v>2</v>
      </c>
      <c r="BL124" s="11">
        <v>1</v>
      </c>
      <c r="BM124" s="11">
        <v>5</v>
      </c>
      <c r="BN124" s="11">
        <v>4</v>
      </c>
      <c r="BO124" s="11">
        <v>3</v>
      </c>
      <c r="BP124" s="11">
        <v>3</v>
      </c>
      <c r="BQ124" s="11">
        <v>3</v>
      </c>
      <c r="BR124" s="11">
        <v>3</v>
      </c>
      <c r="BS124" s="11">
        <v>3</v>
      </c>
      <c r="BT124" s="11">
        <v>3</v>
      </c>
      <c r="BU124" s="11">
        <v>3</v>
      </c>
      <c r="BV124" s="11">
        <v>4</v>
      </c>
      <c r="BW124" s="11">
        <v>3</v>
      </c>
      <c r="BX124" s="11">
        <v>3</v>
      </c>
      <c r="BY124" s="11">
        <v>4</v>
      </c>
      <c r="BZ124" s="11">
        <v>4</v>
      </c>
      <c r="CA124" s="11">
        <v>4</v>
      </c>
      <c r="CB124" s="11">
        <v>4</v>
      </c>
      <c r="CC124" s="11">
        <v>4</v>
      </c>
      <c r="CD124" s="11">
        <v>4</v>
      </c>
      <c r="CE124" s="9" t="s">
        <v>620</v>
      </c>
      <c r="CF124" s="3">
        <v>18</v>
      </c>
      <c r="CG124" s="3">
        <v>17</v>
      </c>
      <c r="CH124" s="3">
        <v>64</v>
      </c>
      <c r="CI124" s="6">
        <f>COUNTIF(AG124:BB124, "Dispone")/22</f>
        <v>0.81818181818181823</v>
      </c>
      <c r="CJ124" s="7">
        <f>AVERAGE(BC124:BL124)</f>
        <v>1.7</v>
      </c>
      <c r="CK124" s="15">
        <f>AVERAGE(BM124:CD124)</f>
        <v>3.5555555555555554</v>
      </c>
      <c r="CL124" s="9" t="str">
        <f>IF(AND(CI124&gt;50%, CJ124&gt;2.5, CK124&gt;2.5), "Compromiso", "")</f>
        <v/>
      </c>
      <c r="CM124" s="9" t="str">
        <f>IF(AND(CI124&gt;75%, CJ124&gt;4, CK124&gt;4), "Liderazgo", "")</f>
        <v/>
      </c>
      <c r="CN124" s="9" t="str">
        <f>IF(AND(CI124&gt;90%, CJ124&gt;4.5, CK124&gt;4.5), "Transformación", "")</f>
        <v/>
      </c>
      <c r="CO124" s="9" t="s">
        <v>581</v>
      </c>
      <c r="CP124" s="3" t="s">
        <v>95</v>
      </c>
    </row>
    <row r="125" spans="1:94" ht="17.25" customHeight="1" x14ac:dyDescent="0.25">
      <c r="A125" s="16">
        <v>45975.465277777781</v>
      </c>
      <c r="B125" s="16">
        <v>45975.474305555559</v>
      </c>
      <c r="C125" s="3" t="s">
        <v>96</v>
      </c>
      <c r="D125" s="3" t="s">
        <v>167</v>
      </c>
      <c r="E125" s="3">
        <v>793</v>
      </c>
      <c r="F125" s="3" t="b">
        <v>1</v>
      </c>
      <c r="G125" s="16">
        <v>45975.474305555559</v>
      </c>
      <c r="H125" s="3" t="s">
        <v>168</v>
      </c>
      <c r="I125" s="3">
        <v>37.365699999999997</v>
      </c>
      <c r="J125" s="3">
        <v>-5.9729000000000001</v>
      </c>
      <c r="K125" s="3" t="s">
        <v>98</v>
      </c>
      <c r="L125" s="3" t="s">
        <v>169</v>
      </c>
      <c r="M125" s="3" t="s">
        <v>170</v>
      </c>
      <c r="N125" s="3" t="s">
        <v>171</v>
      </c>
      <c r="O125" s="3" t="s">
        <v>172</v>
      </c>
      <c r="Q125" s="3" t="s">
        <v>130</v>
      </c>
      <c r="R125" s="3">
        <v>2008</v>
      </c>
      <c r="S125" s="3">
        <v>1292</v>
      </c>
      <c r="T125" s="3">
        <v>0</v>
      </c>
      <c r="U125" s="3">
        <v>29.076000000000001</v>
      </c>
      <c r="V125" s="3">
        <v>0</v>
      </c>
      <c r="W125" s="3" t="s">
        <v>173</v>
      </c>
      <c r="X125" s="3">
        <v>29.8</v>
      </c>
      <c r="Y125" s="3" t="s">
        <v>92</v>
      </c>
      <c r="Z125" s="3">
        <v>2</v>
      </c>
      <c r="AA125" s="3">
        <v>433595</v>
      </c>
      <c r="AB125" s="3">
        <v>65</v>
      </c>
      <c r="AC125" s="3">
        <v>0</v>
      </c>
      <c r="AD125" s="3">
        <v>0</v>
      </c>
      <c r="AE125" s="3">
        <v>0</v>
      </c>
      <c r="AF125" s="3">
        <v>0</v>
      </c>
      <c r="AG125" s="3" t="s">
        <v>93</v>
      </c>
      <c r="AH125" s="3" t="s">
        <v>93</v>
      </c>
      <c r="AI125" s="3" t="s">
        <v>93</v>
      </c>
      <c r="AJ125" s="3" t="s">
        <v>93</v>
      </c>
      <c r="AK125" s="3" t="s">
        <v>93</v>
      </c>
      <c r="AL125" s="3" t="s">
        <v>93</v>
      </c>
      <c r="AM125" s="3" t="s">
        <v>93</v>
      </c>
      <c r="AN125" s="3" t="s">
        <v>93</v>
      </c>
      <c r="AO125" s="3" t="s">
        <v>93</v>
      </c>
      <c r="AP125" s="3" t="s">
        <v>93</v>
      </c>
      <c r="AQ125" s="3" t="s">
        <v>93</v>
      </c>
      <c r="AR125" s="3" t="s">
        <v>93</v>
      </c>
      <c r="AS125" s="3" t="s">
        <v>93</v>
      </c>
      <c r="AT125" s="3" t="s">
        <v>93</v>
      </c>
      <c r="AU125" s="3" t="s">
        <v>93</v>
      </c>
      <c r="AV125" s="3" t="s">
        <v>93</v>
      </c>
      <c r="AW125" s="3" t="s">
        <v>93</v>
      </c>
      <c r="AX125" s="3" t="s">
        <v>94</v>
      </c>
      <c r="AY125" s="3" t="s">
        <v>93</v>
      </c>
      <c r="AZ125" s="3" t="s">
        <v>93</v>
      </c>
      <c r="BA125" s="3" t="s">
        <v>93</v>
      </c>
      <c r="BB125" s="3" t="s">
        <v>94</v>
      </c>
      <c r="BC125" s="3">
        <v>2</v>
      </c>
      <c r="BD125" s="3">
        <v>5</v>
      </c>
      <c r="BE125" s="3">
        <v>5</v>
      </c>
      <c r="BF125" s="3">
        <v>1</v>
      </c>
      <c r="BG125" s="3">
        <v>3</v>
      </c>
      <c r="BH125" s="3">
        <v>3</v>
      </c>
      <c r="BI125" s="3">
        <v>1</v>
      </c>
      <c r="BJ125" s="3">
        <v>5</v>
      </c>
      <c r="BK125" s="3">
        <v>5</v>
      </c>
      <c r="BL125" s="3">
        <v>2</v>
      </c>
      <c r="BM125" s="3">
        <v>5</v>
      </c>
      <c r="BN125" s="3">
        <v>4</v>
      </c>
      <c r="BO125" s="3">
        <v>4</v>
      </c>
      <c r="BP125" s="3">
        <v>4</v>
      </c>
      <c r="BQ125" s="3">
        <v>4</v>
      </c>
      <c r="BR125" s="3">
        <v>3</v>
      </c>
      <c r="BS125" s="3">
        <v>4</v>
      </c>
      <c r="BT125" s="3">
        <v>1</v>
      </c>
      <c r="BU125" s="3">
        <v>2</v>
      </c>
      <c r="BV125" s="3">
        <v>2</v>
      </c>
      <c r="BW125" s="3">
        <v>4</v>
      </c>
      <c r="BX125" s="3">
        <v>3</v>
      </c>
      <c r="BY125" s="3">
        <v>4</v>
      </c>
      <c r="BZ125" s="3">
        <v>4</v>
      </c>
      <c r="CA125" s="3">
        <v>3</v>
      </c>
      <c r="CB125" s="3">
        <v>4</v>
      </c>
      <c r="CC125" s="3">
        <v>4</v>
      </c>
      <c r="CD125" s="3">
        <v>3</v>
      </c>
      <c r="CF125" s="3">
        <v>20</v>
      </c>
      <c r="CG125" s="3">
        <v>32</v>
      </c>
      <c r="CH125" s="3">
        <v>62</v>
      </c>
      <c r="CI125" s="6">
        <f>COUNTIF(AG125:BB125, "Dispone")/22</f>
        <v>0.90909090909090906</v>
      </c>
      <c r="CJ125" s="7">
        <f>AVERAGE(BC125:BL125)</f>
        <v>3.2</v>
      </c>
      <c r="CK125" s="15">
        <f>AVERAGE(BM125:CD125)</f>
        <v>3.4444444444444446</v>
      </c>
      <c r="CL125" s="9" t="str">
        <f>IF(AND(CI125&gt;50%, CJ125&gt;2.5, CK125&gt;2.5), "Compromiso", "")</f>
        <v>Compromiso</v>
      </c>
      <c r="CM125" s="9" t="str">
        <f>IF(AND(CI125&gt;75%, CJ125&gt;4, CK125&gt;4), "Liderazgo", "")</f>
        <v/>
      </c>
      <c r="CN125" s="9" t="str">
        <f>IF(AND(CI125&gt;90%, CJ125&gt;4.5, CK125&gt;4.5), "Transformación", "")</f>
        <v/>
      </c>
      <c r="CO125" s="9" t="s">
        <v>95</v>
      </c>
      <c r="CP125" s="3" t="s">
        <v>146</v>
      </c>
    </row>
    <row r="126" spans="1:94" ht="17.25" customHeight="1" x14ac:dyDescent="0.25">
      <c r="A126" s="16">
        <v>45961.679861111108</v>
      </c>
      <c r="B126" s="16">
        <v>45961.6875</v>
      </c>
      <c r="C126" s="3" t="s">
        <v>96</v>
      </c>
      <c r="D126" s="3" t="s">
        <v>773</v>
      </c>
      <c r="E126" s="3">
        <v>662</v>
      </c>
      <c r="F126" s="3" t="b">
        <v>1</v>
      </c>
      <c r="G126" s="16">
        <v>45961.6875</v>
      </c>
      <c r="H126" s="3" t="s">
        <v>774</v>
      </c>
      <c r="I126" s="3">
        <v>-12.045999999999999</v>
      </c>
      <c r="J126" s="3">
        <v>-77.030500000000004</v>
      </c>
      <c r="K126" s="3" t="s">
        <v>98</v>
      </c>
      <c r="L126" s="3" t="s">
        <v>775</v>
      </c>
      <c r="M126" s="3" t="s">
        <v>776</v>
      </c>
      <c r="N126" s="3" t="s">
        <v>777</v>
      </c>
      <c r="O126" s="3" t="s">
        <v>985</v>
      </c>
      <c r="P126" s="3" t="s">
        <v>778</v>
      </c>
      <c r="Q126" s="3" t="s">
        <v>144</v>
      </c>
      <c r="R126" s="3">
        <v>2009</v>
      </c>
      <c r="S126" s="3">
        <v>112</v>
      </c>
      <c r="T126" s="3">
        <v>1244</v>
      </c>
      <c r="U126" s="3">
        <v>0</v>
      </c>
      <c r="V126" s="3">
        <v>0</v>
      </c>
      <c r="W126" s="3" t="s">
        <v>118</v>
      </c>
      <c r="X126" s="3">
        <v>0</v>
      </c>
      <c r="Y126" s="3" t="s">
        <v>153</v>
      </c>
      <c r="Z126" s="3">
        <v>5</v>
      </c>
      <c r="AA126" s="3">
        <v>208118</v>
      </c>
      <c r="AB126" s="3">
        <v>0</v>
      </c>
      <c r="AC126" s="3">
        <v>0</v>
      </c>
      <c r="AD126" s="3">
        <v>5271</v>
      </c>
      <c r="AE126" s="3">
        <v>0</v>
      </c>
      <c r="AF126" s="3">
        <v>0</v>
      </c>
      <c r="AG126" s="3" t="s">
        <v>94</v>
      </c>
      <c r="AH126" s="3" t="s">
        <v>94</v>
      </c>
      <c r="AI126" s="3" t="s">
        <v>94</v>
      </c>
      <c r="AJ126" s="3" t="s">
        <v>93</v>
      </c>
      <c r="AK126" s="3" t="s">
        <v>93</v>
      </c>
      <c r="AL126" s="3" t="s">
        <v>93</v>
      </c>
      <c r="AM126" s="3" t="s">
        <v>94</v>
      </c>
      <c r="AN126" s="3" t="s">
        <v>93</v>
      </c>
      <c r="AO126" s="3" t="s">
        <v>93</v>
      </c>
      <c r="AP126" s="3" t="s">
        <v>93</v>
      </c>
      <c r="AQ126" s="3" t="s">
        <v>94</v>
      </c>
      <c r="AR126" s="3" t="s">
        <v>93</v>
      </c>
      <c r="AS126" s="3" t="s">
        <v>93</v>
      </c>
      <c r="AT126" s="3" t="s">
        <v>94</v>
      </c>
      <c r="AU126" s="3" t="s">
        <v>94</v>
      </c>
      <c r="AV126" s="3" t="s">
        <v>94</v>
      </c>
      <c r="AW126" s="3" t="s">
        <v>94</v>
      </c>
      <c r="AX126" s="3" t="s">
        <v>94</v>
      </c>
      <c r="AY126" s="3" t="s">
        <v>94</v>
      </c>
      <c r="AZ126" s="3" t="s">
        <v>94</v>
      </c>
      <c r="BA126" s="3" t="s">
        <v>93</v>
      </c>
      <c r="BB126" s="3" t="s">
        <v>93</v>
      </c>
      <c r="BC126" s="3">
        <v>1</v>
      </c>
      <c r="BD126" s="3">
        <v>2</v>
      </c>
      <c r="BE126" s="3">
        <v>1</v>
      </c>
      <c r="BF126" s="3">
        <v>2</v>
      </c>
      <c r="BG126" s="3">
        <v>1</v>
      </c>
      <c r="BH126" s="3">
        <v>1</v>
      </c>
      <c r="BI126" s="3">
        <v>2</v>
      </c>
      <c r="BJ126" s="3">
        <v>2</v>
      </c>
      <c r="BK126" s="3">
        <v>1</v>
      </c>
      <c r="BL126" s="3">
        <v>1</v>
      </c>
      <c r="BM126" s="3">
        <v>3</v>
      </c>
      <c r="BN126" s="3">
        <v>1</v>
      </c>
      <c r="BO126" s="3">
        <v>1</v>
      </c>
      <c r="BP126" s="3">
        <v>1</v>
      </c>
      <c r="BQ126" s="3">
        <v>1</v>
      </c>
      <c r="BR126" s="3">
        <v>2</v>
      </c>
      <c r="BS126" s="3">
        <v>1</v>
      </c>
      <c r="BT126" s="3">
        <v>2</v>
      </c>
      <c r="BU126" s="3">
        <v>2</v>
      </c>
      <c r="BV126" s="3">
        <v>2</v>
      </c>
      <c r="BW126" s="3">
        <v>2</v>
      </c>
      <c r="BX126" s="3">
        <v>3</v>
      </c>
      <c r="BY126" s="3">
        <v>2</v>
      </c>
      <c r="BZ126" s="3">
        <v>3</v>
      </c>
      <c r="CA126" s="3">
        <v>3</v>
      </c>
      <c r="CB126" s="3">
        <v>3</v>
      </c>
      <c r="CC126" s="3">
        <v>3</v>
      </c>
      <c r="CD126" s="3">
        <v>3</v>
      </c>
      <c r="CF126" s="3">
        <v>10</v>
      </c>
      <c r="CG126" s="3">
        <v>14</v>
      </c>
      <c r="CH126" s="3">
        <v>38</v>
      </c>
      <c r="CI126" s="6">
        <f>COUNTIF(AG126:BB126, "Dispone")/22</f>
        <v>0.45454545454545453</v>
      </c>
      <c r="CJ126" s="7">
        <f>AVERAGE(BC126:BL126)</f>
        <v>1.4</v>
      </c>
      <c r="CK126" s="15">
        <f>AVERAGE(BM126:CD126)</f>
        <v>2.1111111111111112</v>
      </c>
      <c r="CL126" s="9" t="str">
        <f>IF(AND(CI126&gt;50%, CJ126&gt;2.5, CK126&gt;2.5), "Compromiso", "")</f>
        <v/>
      </c>
      <c r="CM126" s="9" t="str">
        <f>IF(AND(CI126&gt;75%, CJ126&gt;4, CK126&gt;4), "Liderazgo", "")</f>
        <v/>
      </c>
      <c r="CN126" s="9" t="str">
        <f>IF(AND(CI126&gt;90%, CJ126&gt;4.5, CK126&gt;4.5), "Transformación", "")</f>
        <v/>
      </c>
      <c r="CO126" s="9" t="s">
        <v>581</v>
      </c>
      <c r="CP126" s="3" t="s">
        <v>95</v>
      </c>
    </row>
    <row r="127" spans="1:94" ht="17.25" customHeight="1" x14ac:dyDescent="0.25">
      <c r="A127" s="10">
        <v>45992.951388888891</v>
      </c>
      <c r="B127" s="10">
        <v>45992.959027777775</v>
      </c>
      <c r="C127" s="3" t="s">
        <v>96</v>
      </c>
      <c r="D127" s="3" t="s">
        <v>690</v>
      </c>
      <c r="E127" s="3">
        <v>622</v>
      </c>
      <c r="F127" s="3" t="b">
        <v>1</v>
      </c>
      <c r="G127" s="10">
        <v>45992.959027777775</v>
      </c>
      <c r="H127" s="3" t="s">
        <v>691</v>
      </c>
      <c r="I127" s="3">
        <v>-2.1295999999999999</v>
      </c>
      <c r="J127" s="3">
        <v>-79.601699999999994</v>
      </c>
      <c r="K127" s="3" t="s">
        <v>113</v>
      </c>
      <c r="L127" s="3" t="s">
        <v>692</v>
      </c>
      <c r="M127" s="3" t="s">
        <v>693</v>
      </c>
      <c r="N127" s="3" t="s">
        <v>694</v>
      </c>
      <c r="O127" s="3" t="s">
        <v>986</v>
      </c>
      <c r="P127" s="3" t="s">
        <v>695</v>
      </c>
      <c r="Q127" s="3" t="s">
        <v>90</v>
      </c>
      <c r="R127" s="3">
        <v>1992</v>
      </c>
      <c r="S127" s="3">
        <v>116</v>
      </c>
      <c r="T127" s="3">
        <v>670</v>
      </c>
      <c r="U127" s="3">
        <v>4460</v>
      </c>
      <c r="V127" s="3">
        <v>728</v>
      </c>
      <c r="W127" s="3" t="s">
        <v>118</v>
      </c>
      <c r="X127" s="3">
        <v>0</v>
      </c>
      <c r="Y127" s="3" t="s">
        <v>153</v>
      </c>
      <c r="Z127" s="3">
        <v>1</v>
      </c>
      <c r="AA127" s="3">
        <v>317800</v>
      </c>
      <c r="AB127" s="3">
        <v>0</v>
      </c>
      <c r="AC127" s="3">
        <v>30</v>
      </c>
      <c r="AD127" s="3">
        <v>5944</v>
      </c>
      <c r="AE127" s="3">
        <v>172</v>
      </c>
      <c r="AF127" s="3">
        <v>0</v>
      </c>
      <c r="AG127" s="3" t="s">
        <v>94</v>
      </c>
      <c r="AH127" s="3" t="s">
        <v>93</v>
      </c>
      <c r="AI127" s="3" t="s">
        <v>94</v>
      </c>
      <c r="AJ127" s="3" t="s">
        <v>93</v>
      </c>
      <c r="AK127" s="3" t="s">
        <v>93</v>
      </c>
      <c r="AL127" s="3" t="s">
        <v>93</v>
      </c>
      <c r="AM127" s="3" t="s">
        <v>94</v>
      </c>
      <c r="AN127" s="3" t="s">
        <v>93</v>
      </c>
      <c r="AO127" s="3" t="s">
        <v>93</v>
      </c>
      <c r="AP127" s="3" t="s">
        <v>93</v>
      </c>
      <c r="AQ127" s="3" t="s">
        <v>93</v>
      </c>
      <c r="AR127" s="3" t="s">
        <v>93</v>
      </c>
      <c r="AS127" s="3" t="s">
        <v>93</v>
      </c>
      <c r="AT127" s="3" t="s">
        <v>94</v>
      </c>
      <c r="AU127" s="3" t="s">
        <v>93</v>
      </c>
      <c r="AV127" s="3" t="s">
        <v>93</v>
      </c>
      <c r="AW127" s="3" t="s">
        <v>94</v>
      </c>
      <c r="AX127" s="3" t="s">
        <v>94</v>
      </c>
      <c r="AY127" s="3" t="s">
        <v>93</v>
      </c>
      <c r="AZ127" s="3" t="s">
        <v>93</v>
      </c>
      <c r="BA127" s="3" t="s">
        <v>93</v>
      </c>
      <c r="BB127" s="3" t="s">
        <v>93</v>
      </c>
      <c r="BC127" s="3">
        <v>1</v>
      </c>
      <c r="BD127" s="3">
        <v>1</v>
      </c>
      <c r="BE127" s="3">
        <v>1</v>
      </c>
      <c r="BF127" s="3">
        <v>3</v>
      </c>
      <c r="BG127" s="3">
        <v>1</v>
      </c>
      <c r="BH127" s="3">
        <v>2</v>
      </c>
      <c r="BI127" s="3">
        <v>1</v>
      </c>
      <c r="BJ127" s="3">
        <v>2</v>
      </c>
      <c r="BK127" s="3">
        <v>2</v>
      </c>
      <c r="BL127" s="3">
        <v>2</v>
      </c>
      <c r="BM127" s="3">
        <v>3</v>
      </c>
      <c r="BN127" s="3">
        <v>5</v>
      </c>
      <c r="BO127" s="3">
        <v>5</v>
      </c>
      <c r="BP127" s="3">
        <v>5</v>
      </c>
      <c r="BQ127" s="3">
        <v>3</v>
      </c>
      <c r="BR127" s="3">
        <v>2</v>
      </c>
      <c r="BS127" s="3">
        <v>3</v>
      </c>
      <c r="BT127" s="3">
        <v>3</v>
      </c>
      <c r="BU127" s="3">
        <v>2</v>
      </c>
      <c r="BV127" s="3">
        <v>3</v>
      </c>
      <c r="BW127" s="3">
        <v>3</v>
      </c>
      <c r="BX127" s="3">
        <v>4</v>
      </c>
      <c r="BY127" s="3">
        <v>4</v>
      </c>
      <c r="BZ127" s="3">
        <v>4</v>
      </c>
      <c r="CA127" s="3">
        <v>4</v>
      </c>
      <c r="CB127" s="3">
        <v>5</v>
      </c>
      <c r="CC127" s="3">
        <v>3</v>
      </c>
      <c r="CD127" s="3">
        <v>5</v>
      </c>
      <c r="CE127" s="3" t="s">
        <v>696</v>
      </c>
      <c r="CF127" s="3">
        <v>16</v>
      </c>
      <c r="CG127" s="3">
        <v>16</v>
      </c>
      <c r="CH127" s="3">
        <v>66</v>
      </c>
      <c r="CI127" s="6">
        <f>COUNTIF(AG127:BB127, "Dispone")/22</f>
        <v>0.72727272727272729</v>
      </c>
      <c r="CJ127" s="7">
        <f>AVERAGE(BC127:BL127)</f>
        <v>1.6</v>
      </c>
      <c r="CK127" s="15">
        <f>AVERAGE(BM127:CD127)</f>
        <v>3.6666666666666665</v>
      </c>
      <c r="CL127" s="9" t="str">
        <f>IF(AND(CI127&gt;50%, CJ127&gt;2.5, CK127&gt;2.5), "Compromiso", "")</f>
        <v/>
      </c>
      <c r="CM127" s="9" t="str">
        <f>IF(AND(CI127&gt;75%, CJ127&gt;4, CK127&gt;4), "Liderazgo", "")</f>
        <v/>
      </c>
      <c r="CN127" s="9" t="str">
        <f>IF(AND(CI127&gt;90%, CJ127&gt;4.5, CK127&gt;4.5), "Transformación", "")</f>
        <v/>
      </c>
      <c r="CO127" s="9" t="s">
        <v>581</v>
      </c>
      <c r="CP127" s="3" t="s">
        <v>146</v>
      </c>
    </row>
    <row r="128" spans="1:94" ht="17.25" customHeight="1" x14ac:dyDescent="0.25">
      <c r="A128" s="10">
        <v>45962.257638888892</v>
      </c>
      <c r="B128" s="10">
        <v>45962.263888888891</v>
      </c>
      <c r="C128" s="3" t="s">
        <v>96</v>
      </c>
      <c r="D128" s="3" t="s">
        <v>220</v>
      </c>
      <c r="E128" s="3">
        <v>530</v>
      </c>
      <c r="F128" s="3" t="b">
        <v>1</v>
      </c>
      <c r="G128" s="10">
        <v>45962.263888888891</v>
      </c>
      <c r="H128" s="3" t="s">
        <v>221</v>
      </c>
      <c r="I128" s="3">
        <v>19.432400000000001</v>
      </c>
      <c r="J128" s="3">
        <v>-99.122900000000001</v>
      </c>
      <c r="K128" s="3" t="s">
        <v>98</v>
      </c>
      <c r="L128" s="3" t="s">
        <v>222</v>
      </c>
      <c r="M128" s="3" t="s">
        <v>223</v>
      </c>
      <c r="N128" s="3" t="s">
        <v>224</v>
      </c>
      <c r="O128" s="3" t="s">
        <v>987</v>
      </c>
      <c r="Q128" s="3" t="s">
        <v>144</v>
      </c>
      <c r="R128" s="3">
        <v>1962</v>
      </c>
      <c r="S128" s="3">
        <v>2372</v>
      </c>
      <c r="T128" s="3">
        <v>3521</v>
      </c>
      <c r="U128" s="3">
        <v>55</v>
      </c>
      <c r="V128" s="3">
        <v>48</v>
      </c>
      <c r="W128" s="3" t="s">
        <v>91</v>
      </c>
      <c r="X128" s="3">
        <v>1.5</v>
      </c>
      <c r="Y128" s="3" t="s">
        <v>92</v>
      </c>
      <c r="Z128" s="3">
        <v>61</v>
      </c>
      <c r="AA128" s="3">
        <v>3014413</v>
      </c>
      <c r="AB128" s="3">
        <v>1488430</v>
      </c>
      <c r="AC128" s="3">
        <v>12</v>
      </c>
      <c r="AD128" s="3">
        <v>61515</v>
      </c>
      <c r="AE128" s="3">
        <v>45</v>
      </c>
      <c r="AF128" s="3">
        <v>260000</v>
      </c>
      <c r="AG128" s="3" t="s">
        <v>93</v>
      </c>
      <c r="AH128" s="3" t="s">
        <v>93</v>
      </c>
      <c r="AI128" s="3" t="s">
        <v>94</v>
      </c>
      <c r="AJ128" s="3" t="s">
        <v>93</v>
      </c>
      <c r="AK128" s="3" t="s">
        <v>93</v>
      </c>
      <c r="AL128" s="3" t="s">
        <v>93</v>
      </c>
      <c r="AM128" s="3" t="s">
        <v>93</v>
      </c>
      <c r="AN128" s="3" t="s">
        <v>93</v>
      </c>
      <c r="AO128" s="3" t="s">
        <v>93</v>
      </c>
      <c r="AP128" s="3" t="s">
        <v>93</v>
      </c>
      <c r="AQ128" s="3" t="s">
        <v>93</v>
      </c>
      <c r="AR128" s="3" t="s">
        <v>93</v>
      </c>
      <c r="AS128" s="3" t="s">
        <v>93</v>
      </c>
      <c r="AT128" s="3" t="s">
        <v>93</v>
      </c>
      <c r="AU128" s="3" t="s">
        <v>93</v>
      </c>
      <c r="AV128" s="3" t="s">
        <v>93</v>
      </c>
      <c r="AW128" s="3" t="s">
        <v>93</v>
      </c>
      <c r="AX128" s="3" t="s">
        <v>93</v>
      </c>
      <c r="AY128" s="3" t="s">
        <v>93</v>
      </c>
      <c r="AZ128" s="3" t="s">
        <v>94</v>
      </c>
      <c r="BA128" s="3" t="s">
        <v>94</v>
      </c>
      <c r="BB128" s="3" t="s">
        <v>94</v>
      </c>
      <c r="BC128" s="3">
        <v>4</v>
      </c>
      <c r="BD128" s="3">
        <v>4</v>
      </c>
      <c r="BE128" s="3">
        <v>4</v>
      </c>
      <c r="BF128" s="3">
        <v>4</v>
      </c>
      <c r="BG128" s="3">
        <v>4</v>
      </c>
      <c r="BH128" s="3">
        <v>4</v>
      </c>
      <c r="BI128" s="3">
        <v>2</v>
      </c>
      <c r="BJ128" s="3">
        <v>4</v>
      </c>
      <c r="BK128" s="3">
        <v>4</v>
      </c>
      <c r="BL128" s="3">
        <v>4</v>
      </c>
      <c r="BM128" s="3">
        <v>5</v>
      </c>
      <c r="BN128" s="3">
        <v>4</v>
      </c>
      <c r="BO128" s="3">
        <v>4</v>
      </c>
      <c r="BP128" s="3">
        <v>4</v>
      </c>
      <c r="BQ128" s="3">
        <v>4</v>
      </c>
      <c r="BR128" s="3">
        <v>4</v>
      </c>
      <c r="BS128" s="3">
        <v>4</v>
      </c>
      <c r="BT128" s="3">
        <v>4</v>
      </c>
      <c r="BU128" s="3">
        <v>4</v>
      </c>
      <c r="BV128" s="3">
        <v>4</v>
      </c>
      <c r="BW128" s="3">
        <v>4</v>
      </c>
      <c r="BX128" s="3">
        <v>3</v>
      </c>
      <c r="BY128" s="3">
        <v>4</v>
      </c>
      <c r="BZ128" s="3">
        <v>4</v>
      </c>
      <c r="CA128" s="3">
        <v>4</v>
      </c>
      <c r="CB128" s="3">
        <v>5</v>
      </c>
      <c r="CC128" s="3">
        <v>4</v>
      </c>
      <c r="CD128" s="3">
        <v>5</v>
      </c>
      <c r="CF128" s="3">
        <v>18</v>
      </c>
      <c r="CG128" s="3">
        <v>38</v>
      </c>
      <c r="CH128" s="3">
        <v>74</v>
      </c>
      <c r="CI128" s="6">
        <f>COUNTIF(AG128:BB128, "Dispone")/22</f>
        <v>0.81818181818181823</v>
      </c>
      <c r="CJ128" s="7">
        <f>AVERAGE(BC128:BL128)</f>
        <v>3.8</v>
      </c>
      <c r="CK128" s="15">
        <f>AVERAGE(BM128:CD128)</f>
        <v>4.1111111111111107</v>
      </c>
      <c r="CL128" s="9" t="str">
        <f>IF(AND(CI128&gt;50%, CJ128&gt;2.5, CK128&gt;2.5), "Compromiso", "")</f>
        <v>Compromiso</v>
      </c>
      <c r="CM128" s="9" t="str">
        <f>IF(AND(CI128&gt;75%, CJ128&gt;4, CK128&gt;4), "Liderazgo", "")</f>
        <v/>
      </c>
      <c r="CN128" s="9" t="str">
        <f>IF(AND(CI128&gt;90%, CJ128&gt;4.5, CK128&gt;4.5), "Transformación", "")</f>
        <v/>
      </c>
      <c r="CO128" s="9" t="s">
        <v>95</v>
      </c>
      <c r="CP128" s="3" t="s">
        <v>95</v>
      </c>
    </row>
    <row r="129" spans="1:155" ht="17.25" customHeight="1" x14ac:dyDescent="0.25">
      <c r="A129" s="12">
        <v>45898.789293981485</v>
      </c>
      <c r="B129" s="12">
        <v>45898.795173611114</v>
      </c>
      <c r="C129" s="9" t="s">
        <v>96</v>
      </c>
      <c r="D129" s="9" t="s">
        <v>791</v>
      </c>
      <c r="E129" s="13">
        <v>507</v>
      </c>
      <c r="F129" s="9" t="s">
        <v>105</v>
      </c>
      <c r="G129" s="12">
        <v>45898.795188356482</v>
      </c>
      <c r="H129" s="9" t="s">
        <v>792</v>
      </c>
      <c r="I129" s="13">
        <v>-19.548300000000001</v>
      </c>
      <c r="J129" s="13">
        <v>-47.941400000000002</v>
      </c>
      <c r="K129" s="9" t="s">
        <v>113</v>
      </c>
      <c r="L129" s="9" t="s">
        <v>793</v>
      </c>
      <c r="M129" s="3" t="s">
        <v>893</v>
      </c>
      <c r="N129" s="9" t="s">
        <v>794</v>
      </c>
      <c r="O129" s="3" t="s">
        <v>988</v>
      </c>
      <c r="P129" s="14" t="s">
        <v>1022</v>
      </c>
      <c r="Q129" s="9" t="s">
        <v>90</v>
      </c>
      <c r="R129" s="3">
        <v>2008</v>
      </c>
      <c r="S129" s="3">
        <v>695</v>
      </c>
      <c r="T129" s="3">
        <v>2.194</v>
      </c>
      <c r="U129" s="3">
        <v>0</v>
      </c>
      <c r="V129" s="3">
        <v>0</v>
      </c>
      <c r="W129" s="9" t="s">
        <v>118</v>
      </c>
      <c r="X129" s="3">
        <v>1</v>
      </c>
      <c r="Y129" s="9" t="s">
        <v>92</v>
      </c>
      <c r="Z129" s="3">
        <v>31</v>
      </c>
      <c r="AA129" s="3">
        <v>2314451</v>
      </c>
      <c r="AB129" s="3">
        <v>0</v>
      </c>
      <c r="AC129" s="3">
        <v>30</v>
      </c>
      <c r="AD129" s="3">
        <v>0</v>
      </c>
      <c r="AE129" s="3">
        <v>70</v>
      </c>
      <c r="AF129" s="3">
        <v>0</v>
      </c>
      <c r="AG129" s="9" t="s">
        <v>93</v>
      </c>
      <c r="AH129" s="9" t="s">
        <v>93</v>
      </c>
      <c r="AI129" s="9" t="s">
        <v>93</v>
      </c>
      <c r="AJ129" s="9" t="s">
        <v>93</v>
      </c>
      <c r="AK129" s="9" t="s">
        <v>93</v>
      </c>
      <c r="AL129" s="9" t="s">
        <v>93</v>
      </c>
      <c r="AM129" s="9" t="s">
        <v>93</v>
      </c>
      <c r="AN129" s="9" t="s">
        <v>93</v>
      </c>
      <c r="AO129" s="9" t="s">
        <v>93</v>
      </c>
      <c r="AP129" s="9" t="s">
        <v>93</v>
      </c>
      <c r="AQ129" s="9" t="s">
        <v>93</v>
      </c>
      <c r="AR129" s="9" t="s">
        <v>93</v>
      </c>
      <c r="AS129" s="9" t="s">
        <v>93</v>
      </c>
      <c r="AT129" s="9" t="s">
        <v>93</v>
      </c>
      <c r="AU129" s="9" t="s">
        <v>93</v>
      </c>
      <c r="AV129" s="9" t="s">
        <v>93</v>
      </c>
      <c r="AW129" s="9" t="s">
        <v>94</v>
      </c>
      <c r="AX129" s="9" t="s">
        <v>94</v>
      </c>
      <c r="AY129" s="9" t="s">
        <v>93</v>
      </c>
      <c r="AZ129" s="9" t="s">
        <v>93</v>
      </c>
      <c r="BA129" s="9" t="s">
        <v>93</v>
      </c>
      <c r="BB129" s="9" t="s">
        <v>93</v>
      </c>
      <c r="BC129" s="11">
        <v>5</v>
      </c>
      <c r="BD129" s="11">
        <v>5</v>
      </c>
      <c r="BE129" s="11">
        <v>5</v>
      </c>
      <c r="BF129" s="11">
        <v>5</v>
      </c>
      <c r="BG129" s="11">
        <v>5</v>
      </c>
      <c r="BH129" s="11">
        <v>5</v>
      </c>
      <c r="BI129" s="11">
        <v>5</v>
      </c>
      <c r="BJ129" s="11">
        <v>5</v>
      </c>
      <c r="BK129" s="11">
        <v>3</v>
      </c>
      <c r="BL129" s="11">
        <v>5</v>
      </c>
      <c r="BM129" s="11">
        <v>5</v>
      </c>
      <c r="BN129" s="11">
        <v>5</v>
      </c>
      <c r="BO129" s="11">
        <v>5</v>
      </c>
      <c r="BP129" s="11">
        <v>5</v>
      </c>
      <c r="BQ129" s="11">
        <v>5</v>
      </c>
      <c r="BR129" s="11">
        <v>5</v>
      </c>
      <c r="BS129" s="11">
        <v>5</v>
      </c>
      <c r="BT129" s="11">
        <v>5</v>
      </c>
      <c r="BU129" s="11">
        <v>4</v>
      </c>
      <c r="BV129" s="11">
        <v>5</v>
      </c>
      <c r="BW129" s="11">
        <v>5</v>
      </c>
      <c r="BX129" s="11">
        <v>4</v>
      </c>
      <c r="BY129" s="11">
        <v>5</v>
      </c>
      <c r="BZ129" s="11">
        <v>5</v>
      </c>
      <c r="CA129" s="11">
        <v>5</v>
      </c>
      <c r="CB129" s="11">
        <v>5</v>
      </c>
      <c r="CC129" s="11">
        <v>5</v>
      </c>
      <c r="CD129" s="11">
        <v>3</v>
      </c>
      <c r="CE129" s="9" t="s">
        <v>795</v>
      </c>
      <c r="CF129" s="3">
        <v>20</v>
      </c>
      <c r="CG129" s="3">
        <v>48</v>
      </c>
      <c r="CH129" s="3">
        <v>86</v>
      </c>
      <c r="CI129" s="6">
        <f>COUNTIF(AG129:BB129, "Dispone")/22</f>
        <v>0.90909090909090906</v>
      </c>
      <c r="CJ129" s="7">
        <f>AVERAGE(BC129:BL129)</f>
        <v>4.8</v>
      </c>
      <c r="CK129" s="15">
        <f>AVERAGE(BM129:CD129)</f>
        <v>4.7777777777777777</v>
      </c>
      <c r="CL129" s="9" t="str">
        <f>IF(AND(CI129&gt;50%, CJ129&gt;2.5, CK129&gt;2.5), "Compromiso", "")</f>
        <v>Compromiso</v>
      </c>
      <c r="CM129" s="9" t="str">
        <f>IF(AND(CI129&gt;75%, CJ129&gt;4, CK129&gt;4), "Liderazgo", "")</f>
        <v>Liderazgo</v>
      </c>
      <c r="CN129" s="9" t="str">
        <f>IF(AND(CI129&gt;90%, CJ129&gt;4.5, CK129&gt;4.5), "Transformación", "")</f>
        <v>Transformación</v>
      </c>
      <c r="CO129" s="9" t="s">
        <v>132</v>
      </c>
      <c r="CP129" s="3" t="s">
        <v>103</v>
      </c>
    </row>
    <row r="130" spans="1:155" ht="17.25" customHeight="1" x14ac:dyDescent="0.25">
      <c r="A130" s="12">
        <v>45862.56863425926</v>
      </c>
      <c r="B130" s="12">
        <v>45862.574155092596</v>
      </c>
      <c r="C130" s="9" t="s">
        <v>96</v>
      </c>
      <c r="D130" s="9" t="s">
        <v>738</v>
      </c>
      <c r="E130" s="13">
        <v>477</v>
      </c>
      <c r="F130" s="9" t="s">
        <v>105</v>
      </c>
      <c r="G130" s="12">
        <v>45862.574164282407</v>
      </c>
      <c r="H130" s="9" t="s">
        <v>739</v>
      </c>
      <c r="I130" s="13">
        <v>42.604199999999999</v>
      </c>
      <c r="J130" s="13">
        <v>-5.5857999999999999</v>
      </c>
      <c r="K130" s="9" t="s">
        <v>98</v>
      </c>
      <c r="L130" s="9" t="s">
        <v>740</v>
      </c>
      <c r="M130" s="3" t="s">
        <v>741</v>
      </c>
      <c r="N130" s="9" t="s">
        <v>742</v>
      </c>
      <c r="O130" s="3" t="s">
        <v>989</v>
      </c>
      <c r="P130" s="9" t="s">
        <v>743</v>
      </c>
      <c r="Q130" s="9" t="s">
        <v>144</v>
      </c>
      <c r="R130" s="3">
        <v>1925</v>
      </c>
      <c r="S130" s="3">
        <v>28149</v>
      </c>
      <c r="T130" s="3">
        <v>332968</v>
      </c>
      <c r="U130" s="3">
        <v>5558</v>
      </c>
      <c r="V130" s="3">
        <v>952</v>
      </c>
      <c r="W130" s="9" t="s">
        <v>118</v>
      </c>
      <c r="X130" s="3">
        <v>4</v>
      </c>
      <c r="Y130" s="9" t="s">
        <v>92</v>
      </c>
      <c r="Z130" s="3">
        <v>1273</v>
      </c>
      <c r="AA130" s="3">
        <v>24492129</v>
      </c>
      <c r="AB130" s="3">
        <v>24643</v>
      </c>
      <c r="AC130" s="3">
        <v>21</v>
      </c>
      <c r="AD130" s="3">
        <v>0</v>
      </c>
      <c r="AE130" s="3">
        <v>38</v>
      </c>
      <c r="AF130" s="3">
        <v>29911405</v>
      </c>
      <c r="AG130" s="9" t="s">
        <v>94</v>
      </c>
      <c r="AH130" s="9" t="s">
        <v>94</v>
      </c>
      <c r="AI130" s="9" t="s">
        <v>94</v>
      </c>
      <c r="AJ130" s="9" t="s">
        <v>94</v>
      </c>
      <c r="AK130" s="9" t="s">
        <v>94</v>
      </c>
      <c r="AL130" s="9" t="s">
        <v>94</v>
      </c>
      <c r="AM130" s="9" t="s">
        <v>94</v>
      </c>
      <c r="AN130" s="9" t="s">
        <v>94</v>
      </c>
      <c r="AO130" s="9" t="s">
        <v>94</v>
      </c>
      <c r="AP130" s="9" t="s">
        <v>94</v>
      </c>
      <c r="AQ130" s="9" t="s">
        <v>94</v>
      </c>
      <c r="AR130" s="9" t="s">
        <v>94</v>
      </c>
      <c r="AS130" s="9" t="s">
        <v>94</v>
      </c>
      <c r="AT130" s="9" t="s">
        <v>94</v>
      </c>
      <c r="AU130" s="9" t="s">
        <v>94</v>
      </c>
      <c r="AV130" s="9" t="s">
        <v>94</v>
      </c>
      <c r="AW130" s="9" t="s">
        <v>94</v>
      </c>
      <c r="AX130" s="9" t="s">
        <v>93</v>
      </c>
      <c r="AY130" s="9" t="s">
        <v>94</v>
      </c>
      <c r="AZ130" s="9" t="s">
        <v>94</v>
      </c>
      <c r="BA130" s="9" t="s">
        <v>94</v>
      </c>
      <c r="BB130" s="9" t="s">
        <v>94</v>
      </c>
      <c r="BC130" s="11">
        <v>5</v>
      </c>
      <c r="BD130" s="11">
        <v>5</v>
      </c>
      <c r="BE130" s="11">
        <v>5</v>
      </c>
      <c r="BF130" s="11">
        <v>5</v>
      </c>
      <c r="BG130" s="11">
        <v>5</v>
      </c>
      <c r="BH130" s="11">
        <v>5</v>
      </c>
      <c r="BI130" s="11">
        <v>5</v>
      </c>
      <c r="BJ130" s="11">
        <v>5</v>
      </c>
      <c r="BK130" s="11">
        <v>5</v>
      </c>
      <c r="BL130" s="11">
        <v>5</v>
      </c>
      <c r="BM130" s="11">
        <v>5</v>
      </c>
      <c r="BN130" s="11">
        <v>5</v>
      </c>
      <c r="BO130" s="11">
        <v>5</v>
      </c>
      <c r="BP130" s="11">
        <v>5</v>
      </c>
      <c r="BQ130" s="11">
        <v>5</v>
      </c>
      <c r="BR130" s="11">
        <v>5</v>
      </c>
      <c r="BS130" s="11">
        <v>5</v>
      </c>
      <c r="BT130" s="11">
        <v>5</v>
      </c>
      <c r="BU130" s="11">
        <v>5</v>
      </c>
      <c r="BV130" s="11">
        <v>5</v>
      </c>
      <c r="BW130" s="11">
        <v>5</v>
      </c>
      <c r="BX130" s="11">
        <v>5</v>
      </c>
      <c r="BY130" s="11">
        <v>5</v>
      </c>
      <c r="BZ130" s="11">
        <v>5</v>
      </c>
      <c r="CA130" s="11">
        <v>5</v>
      </c>
      <c r="CB130" s="11">
        <v>5</v>
      </c>
      <c r="CC130" s="11">
        <v>5</v>
      </c>
      <c r="CD130" s="11">
        <v>5</v>
      </c>
      <c r="CE130" s="9"/>
      <c r="CF130" s="3">
        <v>1</v>
      </c>
      <c r="CG130" s="3">
        <v>50</v>
      </c>
      <c r="CH130" s="3">
        <v>90</v>
      </c>
      <c r="CI130" s="6">
        <f>COUNTIF(AG130:BB130, "Dispone")/22</f>
        <v>4.5454545454545456E-2</v>
      </c>
      <c r="CJ130" s="7">
        <f>AVERAGE(BC130:BL130)</f>
        <v>5</v>
      </c>
      <c r="CK130" s="15">
        <f>AVERAGE(BM130:CD130)</f>
        <v>5</v>
      </c>
      <c r="CL130" s="9" t="str">
        <f>IF(AND(CI130&gt;50%, CJ130&gt;2.5, CK130&gt;2.5), "Compromiso", "")</f>
        <v/>
      </c>
      <c r="CM130" s="9" t="str">
        <f>IF(AND(CI130&gt;75%, CJ130&gt;4, CK130&gt;4), "Liderazgo", "")</f>
        <v/>
      </c>
      <c r="CN130" s="9" t="str">
        <f>IF(AND(CI130&gt;90%, CJ130&gt;4.5, CK130&gt;4.5), "Transformación", "")</f>
        <v/>
      </c>
      <c r="CO130" s="9" t="s">
        <v>581</v>
      </c>
      <c r="CP130" s="3" t="s">
        <v>103</v>
      </c>
    </row>
    <row r="131" spans="1:155" ht="17.25" customHeight="1" x14ac:dyDescent="0.25">
      <c r="A131" s="12">
        <v>45866.550057870372</v>
      </c>
      <c r="B131" s="12">
        <v>45866.554085648146</v>
      </c>
      <c r="C131" s="9" t="s">
        <v>96</v>
      </c>
      <c r="D131" s="9" t="s">
        <v>566</v>
      </c>
      <c r="E131" s="13">
        <v>347</v>
      </c>
      <c r="F131" s="9" t="s">
        <v>105</v>
      </c>
      <c r="G131" s="12">
        <v>45866.554094363426</v>
      </c>
      <c r="H131" s="9" t="s">
        <v>567</v>
      </c>
      <c r="I131" s="13">
        <v>38.1496</v>
      </c>
      <c r="J131" s="13">
        <v>-0.89219999999999999</v>
      </c>
      <c r="K131" s="9" t="s">
        <v>98</v>
      </c>
      <c r="L131" s="9" t="s">
        <v>568</v>
      </c>
      <c r="M131" s="3" t="s">
        <v>107</v>
      </c>
      <c r="N131" s="9"/>
      <c r="O131" s="3" t="s">
        <v>911</v>
      </c>
      <c r="P131" s="9"/>
      <c r="Q131" s="9" t="s">
        <v>130</v>
      </c>
      <c r="W131" s="9"/>
      <c r="Y131" s="9"/>
      <c r="AG131" s="3" t="s">
        <v>93</v>
      </c>
      <c r="AH131" s="3" t="s">
        <v>93</v>
      </c>
      <c r="AI131" s="5"/>
      <c r="AJ131" s="9" t="s">
        <v>94</v>
      </c>
      <c r="AK131" s="9" t="s">
        <v>93</v>
      </c>
      <c r="AL131" s="9" t="s">
        <v>93</v>
      </c>
      <c r="AM131" s="9" t="s">
        <v>93</v>
      </c>
      <c r="AN131" s="9" t="s">
        <v>93</v>
      </c>
      <c r="AO131" s="9" t="s">
        <v>93</v>
      </c>
      <c r="AP131" s="9" t="s">
        <v>93</v>
      </c>
      <c r="AQ131" s="9" t="s">
        <v>93</v>
      </c>
      <c r="AR131" s="9" t="s">
        <v>93</v>
      </c>
      <c r="AS131" s="9" t="s">
        <v>93</v>
      </c>
      <c r="AT131" s="9" t="s">
        <v>93</v>
      </c>
      <c r="AU131" s="9" t="s">
        <v>93</v>
      </c>
      <c r="AV131" s="9" t="s">
        <v>93</v>
      </c>
      <c r="AW131" s="9" t="s">
        <v>93</v>
      </c>
      <c r="AX131" s="9" t="s">
        <v>93</v>
      </c>
      <c r="AY131" s="9" t="s">
        <v>93</v>
      </c>
      <c r="AZ131" s="9" t="s">
        <v>94</v>
      </c>
      <c r="BA131" s="9" t="s">
        <v>93</v>
      </c>
      <c r="BB131" s="9" t="s">
        <v>93</v>
      </c>
      <c r="BC131" s="11">
        <v>5</v>
      </c>
      <c r="BD131" s="11">
        <v>5</v>
      </c>
      <c r="BE131" s="11">
        <v>5</v>
      </c>
      <c r="BF131" s="11">
        <v>2</v>
      </c>
      <c r="BG131" s="11">
        <v>3</v>
      </c>
      <c r="BH131" s="11">
        <v>2</v>
      </c>
      <c r="BI131" s="11">
        <v>5</v>
      </c>
      <c r="BJ131" s="11">
        <v>5</v>
      </c>
      <c r="BK131" s="11">
        <v>5</v>
      </c>
      <c r="BL131" s="11">
        <v>4</v>
      </c>
      <c r="BM131" s="11">
        <v>5</v>
      </c>
      <c r="BN131" s="11">
        <v>5</v>
      </c>
      <c r="BO131" s="11">
        <v>5</v>
      </c>
      <c r="BP131" s="11">
        <v>5</v>
      </c>
      <c r="BQ131" s="11">
        <v>5</v>
      </c>
      <c r="BR131" s="11">
        <v>5</v>
      </c>
      <c r="BS131" s="11">
        <v>5</v>
      </c>
      <c r="BT131" s="11">
        <v>5</v>
      </c>
      <c r="BU131" s="11">
        <v>5</v>
      </c>
      <c r="BV131" s="11">
        <v>5</v>
      </c>
      <c r="BW131" s="11">
        <v>4</v>
      </c>
      <c r="BX131" s="11">
        <v>5</v>
      </c>
      <c r="BY131" s="11">
        <v>5</v>
      </c>
      <c r="BZ131" s="11">
        <v>5</v>
      </c>
      <c r="CA131" s="11">
        <v>5</v>
      </c>
      <c r="CB131" s="11">
        <v>5</v>
      </c>
      <c r="CC131" s="11">
        <v>5</v>
      </c>
      <c r="CD131" s="11">
        <v>5</v>
      </c>
      <c r="CE131" s="9"/>
      <c r="CF131" s="3">
        <f>COUNTIF(AG131:BB131, "Dispone")</f>
        <v>19</v>
      </c>
      <c r="CG131" s="3">
        <v>41</v>
      </c>
      <c r="CH131" s="11">
        <f>SUM(BM131:CD131)</f>
        <v>89</v>
      </c>
      <c r="CI131" s="6">
        <f>COUNTIF(AG131:BB131, "Dispone")/22</f>
        <v>0.86363636363636365</v>
      </c>
      <c r="CJ131" s="7">
        <f>AVERAGE(BC131:BL131)</f>
        <v>4.0999999999999996</v>
      </c>
      <c r="CK131" s="15">
        <f>AVERAGE(BM131:CD131)</f>
        <v>4.9444444444444446</v>
      </c>
      <c r="CL131" s="9" t="str">
        <f>IF(AND(CI131&gt;50%, CJ131&gt;2.5, CK131&gt;2.5), "Compromiso", "")</f>
        <v>Compromiso</v>
      </c>
      <c r="CM131" s="9" t="str">
        <f>IF(AND(CI131&gt;75%, CJ131&gt;4, CK131&gt;4), "Liderazgo", "")</f>
        <v>Liderazgo</v>
      </c>
      <c r="CN131" s="9" t="str">
        <f>IF(AND(CI131&gt;90%, CJ131&gt;4.5, CK131&gt;4.5), "Transformación", "")</f>
        <v/>
      </c>
      <c r="CO131" s="9" t="s">
        <v>103</v>
      </c>
      <c r="CP131" s="3" t="s">
        <v>95</v>
      </c>
    </row>
    <row r="132" spans="1:155" ht="17.25" customHeight="1" x14ac:dyDescent="0.25">
      <c r="A132" s="16">
        <v>45959.427083333336</v>
      </c>
      <c r="B132" s="16">
        <v>45959.427777777775</v>
      </c>
      <c r="C132" s="3" t="s">
        <v>96</v>
      </c>
      <c r="D132" s="3" t="s">
        <v>403</v>
      </c>
      <c r="E132" s="3">
        <v>33</v>
      </c>
      <c r="F132" s="3" t="b">
        <v>1</v>
      </c>
      <c r="G132" s="16">
        <v>45959.427777777775</v>
      </c>
      <c r="H132" s="3" t="s">
        <v>404</v>
      </c>
      <c r="I132" s="3">
        <v>37.9861</v>
      </c>
      <c r="J132" s="3">
        <v>-1.1213</v>
      </c>
      <c r="K132" s="3" t="s">
        <v>98</v>
      </c>
      <c r="L132" s="3" t="s">
        <v>405</v>
      </c>
      <c r="M132" s="3" t="s">
        <v>406</v>
      </c>
      <c r="N132" s="3" t="s">
        <v>407</v>
      </c>
      <c r="O132" s="3" t="s">
        <v>408</v>
      </c>
      <c r="P132" s="3">
        <v>4611418205</v>
      </c>
      <c r="Q132" s="3" t="s">
        <v>144</v>
      </c>
      <c r="R132" s="3">
        <v>1988</v>
      </c>
      <c r="S132" s="3">
        <v>176</v>
      </c>
      <c r="T132" s="3">
        <v>1918</v>
      </c>
      <c r="U132" s="3">
        <v>200</v>
      </c>
      <c r="V132" s="3">
        <v>200</v>
      </c>
      <c r="W132" s="3" t="s">
        <v>91</v>
      </c>
      <c r="X132" s="3">
        <v>2</v>
      </c>
      <c r="Y132" s="3" t="s">
        <v>153</v>
      </c>
      <c r="Z132" s="3">
        <v>17</v>
      </c>
      <c r="AA132" s="3">
        <v>438434</v>
      </c>
      <c r="AB132" s="3">
        <v>393</v>
      </c>
      <c r="AC132" s="3">
        <v>100</v>
      </c>
      <c r="AD132" s="3">
        <v>25606</v>
      </c>
      <c r="AE132" s="3">
        <v>472</v>
      </c>
      <c r="AF132" s="3">
        <v>1584938</v>
      </c>
      <c r="AG132" s="3" t="s">
        <v>93</v>
      </c>
      <c r="AH132" s="3" t="s">
        <v>93</v>
      </c>
      <c r="AI132" s="3" t="s">
        <v>93</v>
      </c>
      <c r="AJ132" s="3" t="s">
        <v>93</v>
      </c>
      <c r="AK132" s="3" t="s">
        <v>93</v>
      </c>
      <c r="AL132" s="3" t="s">
        <v>93</v>
      </c>
      <c r="AM132" s="3" t="s">
        <v>93</v>
      </c>
      <c r="AN132" s="3" t="s">
        <v>94</v>
      </c>
      <c r="AO132" s="3" t="s">
        <v>93</v>
      </c>
      <c r="AP132" s="3" t="s">
        <v>93</v>
      </c>
      <c r="AQ132" s="3" t="s">
        <v>93</v>
      </c>
      <c r="AR132" s="3" t="s">
        <v>94</v>
      </c>
      <c r="AS132" s="3" t="s">
        <v>93</v>
      </c>
      <c r="AT132" s="3" t="s">
        <v>93</v>
      </c>
      <c r="AU132" s="3" t="s">
        <v>93</v>
      </c>
      <c r="AV132" s="3" t="s">
        <v>93</v>
      </c>
      <c r="AW132" s="3" t="s">
        <v>93</v>
      </c>
      <c r="AX132" s="3" t="s">
        <v>94</v>
      </c>
      <c r="AY132" s="3" t="s">
        <v>93</v>
      </c>
      <c r="AZ132" s="3" t="s">
        <v>93</v>
      </c>
      <c r="BA132" s="3" t="s">
        <v>93</v>
      </c>
      <c r="BB132" s="3" t="s">
        <v>93</v>
      </c>
      <c r="BC132" s="3">
        <v>3</v>
      </c>
      <c r="BD132" s="3">
        <v>4</v>
      </c>
      <c r="BE132" s="3">
        <v>4</v>
      </c>
      <c r="BF132" s="3">
        <v>5</v>
      </c>
      <c r="BG132" s="3">
        <v>4</v>
      </c>
      <c r="BH132" s="3">
        <v>4</v>
      </c>
      <c r="BI132" s="3">
        <v>3</v>
      </c>
      <c r="BJ132" s="3">
        <v>4</v>
      </c>
      <c r="BK132" s="3">
        <v>2</v>
      </c>
      <c r="BL132" s="3">
        <v>3</v>
      </c>
      <c r="BM132" s="3">
        <v>5</v>
      </c>
      <c r="BN132" s="3">
        <v>5</v>
      </c>
      <c r="BO132" s="3">
        <v>5</v>
      </c>
      <c r="BP132" s="3">
        <v>4</v>
      </c>
      <c r="BQ132" s="3">
        <v>5</v>
      </c>
      <c r="BR132" s="3">
        <v>5</v>
      </c>
      <c r="BS132" s="3">
        <v>5</v>
      </c>
      <c r="BT132" s="3">
        <v>5</v>
      </c>
      <c r="BU132" s="3">
        <v>5</v>
      </c>
      <c r="BV132" s="3">
        <v>5</v>
      </c>
      <c r="BW132" s="3">
        <v>5</v>
      </c>
      <c r="BX132" s="3">
        <v>4</v>
      </c>
      <c r="BY132" s="3">
        <v>5</v>
      </c>
      <c r="BZ132" s="3">
        <v>3</v>
      </c>
      <c r="CA132" s="3">
        <v>4</v>
      </c>
      <c r="CB132" s="3">
        <v>5</v>
      </c>
      <c r="CC132" s="3">
        <v>5</v>
      </c>
      <c r="CD132" s="3">
        <v>5</v>
      </c>
      <c r="CE132" s="3" t="s">
        <v>409</v>
      </c>
      <c r="CF132" s="3">
        <v>19</v>
      </c>
      <c r="CG132" s="3">
        <v>36</v>
      </c>
      <c r="CH132" s="3">
        <v>85</v>
      </c>
      <c r="CI132" s="6">
        <f>COUNTIF(AG132:BB132, "Dispone")/22</f>
        <v>0.86363636363636365</v>
      </c>
      <c r="CJ132" s="7">
        <f>AVERAGE(BC132:BL132)</f>
        <v>3.6</v>
      </c>
      <c r="CK132" s="15">
        <f>AVERAGE(BM132:CD132)</f>
        <v>4.7222222222222223</v>
      </c>
      <c r="CL132" s="9" t="str">
        <f>IF(AND(CI132&gt;50%, CJ132&gt;2.5, CK132&gt;2.5), "Compromiso", "")</f>
        <v>Compromiso</v>
      </c>
      <c r="CM132" s="9" t="str">
        <f>IF(AND(CI132&gt;75%, CJ132&gt;4, CK132&gt;4), "Liderazgo", "")</f>
        <v/>
      </c>
      <c r="CN132" s="9" t="str">
        <f>IF(AND(CI132&gt;90%, CJ132&gt;4.5, CK132&gt;4.5), "Transformación", "")</f>
        <v/>
      </c>
      <c r="CO132" s="9" t="s">
        <v>95</v>
      </c>
      <c r="CP132" s="3" t="s">
        <v>95</v>
      </c>
    </row>
    <row r="133" spans="1:155" ht="20.25" customHeight="1" x14ac:dyDescent="0.25">
      <c r="C133" s="3" t="s">
        <v>871</v>
      </c>
      <c r="L133" s="3" t="s">
        <v>87</v>
      </c>
      <c r="M133" s="3" t="s">
        <v>88</v>
      </c>
      <c r="N133" s="3" t="s">
        <v>89</v>
      </c>
      <c r="O133" s="3" t="s">
        <v>990</v>
      </c>
      <c r="P133" s="3">
        <v>49988016226</v>
      </c>
      <c r="Q133" s="3" t="s">
        <v>90</v>
      </c>
      <c r="R133" s="3">
        <v>1970</v>
      </c>
      <c r="S133" s="3">
        <v>824</v>
      </c>
      <c r="T133" s="3">
        <v>5740</v>
      </c>
      <c r="U133" s="3">
        <v>1042</v>
      </c>
      <c r="V133" s="3">
        <v>0</v>
      </c>
      <c r="W133" s="3" t="s">
        <v>91</v>
      </c>
      <c r="X133" s="3">
        <v>0.65</v>
      </c>
      <c r="Y133" s="3" t="s">
        <v>92</v>
      </c>
      <c r="Z133" s="3">
        <v>21</v>
      </c>
      <c r="AA133" s="3">
        <v>2627180</v>
      </c>
      <c r="AB133" s="3">
        <v>260</v>
      </c>
      <c r="AC133" s="3">
        <v>20</v>
      </c>
      <c r="AD133" s="3">
        <v>86632</v>
      </c>
      <c r="AE133" s="3">
        <v>1</v>
      </c>
      <c r="AF133" s="3">
        <v>0</v>
      </c>
      <c r="AG133" s="3" t="s">
        <v>93</v>
      </c>
      <c r="AH133" s="3" t="s">
        <v>93</v>
      </c>
      <c r="AI133" s="3" t="s">
        <v>94</v>
      </c>
      <c r="AJ133" s="3" t="s">
        <v>93</v>
      </c>
      <c r="AK133" s="3" t="s">
        <v>94</v>
      </c>
      <c r="AL133" s="3" t="s">
        <v>93</v>
      </c>
      <c r="AM133" s="3" t="s">
        <v>93</v>
      </c>
      <c r="AN133" s="3" t="s">
        <v>93</v>
      </c>
      <c r="AO133" s="3" t="s">
        <v>93</v>
      </c>
      <c r="AP133" s="3" t="s">
        <v>93</v>
      </c>
      <c r="AQ133" s="3" t="s">
        <v>93</v>
      </c>
      <c r="AR133" s="3" t="s">
        <v>93</v>
      </c>
      <c r="AS133" s="3" t="s">
        <v>93</v>
      </c>
      <c r="AT133" s="3" t="s">
        <v>93</v>
      </c>
      <c r="AU133" s="3" t="s">
        <v>93</v>
      </c>
      <c r="AV133" s="3" t="s">
        <v>93</v>
      </c>
      <c r="AW133" s="3" t="s">
        <v>94</v>
      </c>
      <c r="AX133" s="3" t="s">
        <v>94</v>
      </c>
      <c r="AY133" s="3" t="s">
        <v>93</v>
      </c>
      <c r="AZ133" s="3" t="s">
        <v>93</v>
      </c>
      <c r="BA133" s="3" t="s">
        <v>93</v>
      </c>
      <c r="BB133" s="3" t="s">
        <v>93</v>
      </c>
      <c r="BC133" s="4">
        <v>2</v>
      </c>
      <c r="BD133" s="4">
        <v>3</v>
      </c>
      <c r="BE133" s="4">
        <v>2</v>
      </c>
      <c r="BF133" s="4">
        <v>3</v>
      </c>
      <c r="BG133" s="4">
        <v>3</v>
      </c>
      <c r="BH133" s="4">
        <v>4</v>
      </c>
      <c r="BI133" s="4">
        <v>3</v>
      </c>
      <c r="BJ133" s="4">
        <v>4</v>
      </c>
      <c r="BK133" s="4">
        <v>4</v>
      </c>
      <c r="BL133" s="4">
        <v>3</v>
      </c>
      <c r="BM133" s="5">
        <v>5</v>
      </c>
      <c r="BN133" s="5">
        <v>5</v>
      </c>
      <c r="BO133" s="5">
        <v>5</v>
      </c>
      <c r="BP133" s="5">
        <v>5</v>
      </c>
      <c r="BQ133" s="5">
        <v>4</v>
      </c>
      <c r="BR133" s="5">
        <v>4</v>
      </c>
      <c r="BS133" s="5">
        <v>3</v>
      </c>
      <c r="BT133" s="5">
        <v>5</v>
      </c>
      <c r="BU133" s="5">
        <v>3</v>
      </c>
      <c r="BV133" s="5">
        <v>3</v>
      </c>
      <c r="BW133" s="5">
        <v>3</v>
      </c>
      <c r="BX133" s="5">
        <v>2</v>
      </c>
      <c r="BY133" s="5">
        <v>4</v>
      </c>
      <c r="BZ133" s="5">
        <v>5</v>
      </c>
      <c r="CA133" s="5">
        <v>5</v>
      </c>
      <c r="CB133" s="5">
        <v>4</v>
      </c>
      <c r="CC133" s="5">
        <v>4</v>
      </c>
      <c r="CD133" s="5">
        <v>5</v>
      </c>
      <c r="CF133" s="3">
        <v>18</v>
      </c>
      <c r="CG133" s="3">
        <v>31</v>
      </c>
      <c r="CH133" s="3">
        <v>74</v>
      </c>
      <c r="CI133" s="6">
        <f>COUNTIF(AG133:BB133, "Dispone")/22</f>
        <v>0.81818181818181823</v>
      </c>
      <c r="CJ133" s="7">
        <f>AVERAGE(BC133:BL133)</f>
        <v>3.1</v>
      </c>
      <c r="CK133" s="8">
        <f>AVERAGE(BM133:CD133)</f>
        <v>4.1111111111111107</v>
      </c>
      <c r="CL133" s="9" t="str">
        <f>IF(AND(CI133&gt;50%, CJ133&gt;2.5, CK133&gt;2.5), "Compromiso", "")</f>
        <v>Compromiso</v>
      </c>
      <c r="CM133" s="9" t="str">
        <f>IF(AND(CI133&gt;75%, CJ133&gt;4, CK133&gt;4), "Liderazgo", "")</f>
        <v/>
      </c>
      <c r="CN133" s="9" t="str">
        <f>IF(AND(CI133&gt;90%, CJ133&gt;4.5, CK133&gt;4.5), "Transformación", "")</f>
        <v/>
      </c>
      <c r="CO133" s="9" t="s">
        <v>95</v>
      </c>
      <c r="CP133" s="3" t="s">
        <v>146</v>
      </c>
    </row>
    <row r="134" spans="1:155" ht="20.25" customHeight="1" x14ac:dyDescent="0.25">
      <c r="C134" s="3" t="s">
        <v>871</v>
      </c>
      <c r="L134" s="3" t="s">
        <v>198</v>
      </c>
      <c r="M134" s="3" t="s">
        <v>199</v>
      </c>
      <c r="N134" s="3" t="s">
        <v>200</v>
      </c>
      <c r="O134" s="3" t="s">
        <v>991</v>
      </c>
      <c r="P134" s="3">
        <v>971173177</v>
      </c>
      <c r="Q134" s="3" t="s">
        <v>130</v>
      </c>
      <c r="R134" s="3">
        <v>1978</v>
      </c>
      <c r="S134" s="3">
        <v>2906</v>
      </c>
      <c r="T134" s="3">
        <v>11401</v>
      </c>
      <c r="U134" s="3">
        <v>200</v>
      </c>
      <c r="V134" s="3">
        <v>0</v>
      </c>
      <c r="W134" s="3" t="s">
        <v>118</v>
      </c>
      <c r="X134" s="3">
        <v>10</v>
      </c>
      <c r="Y134" s="3" t="s">
        <v>92</v>
      </c>
      <c r="Z134" s="3">
        <v>24</v>
      </c>
      <c r="AA134" s="3">
        <v>9658161</v>
      </c>
      <c r="AB134" s="3">
        <v>1334</v>
      </c>
      <c r="AC134" s="3">
        <v>77</v>
      </c>
      <c r="AD134" s="3">
        <v>62158</v>
      </c>
      <c r="AE134" s="3">
        <v>52</v>
      </c>
      <c r="AF134" s="3">
        <v>40700000</v>
      </c>
      <c r="AG134" s="3" t="s">
        <v>94</v>
      </c>
      <c r="AH134" s="3" t="s">
        <v>93</v>
      </c>
      <c r="AI134" s="3" t="s">
        <v>94</v>
      </c>
      <c r="AJ134" s="3" t="s">
        <v>93</v>
      </c>
      <c r="AK134" s="3" t="s">
        <v>93</v>
      </c>
      <c r="AL134" s="3" t="s">
        <v>93</v>
      </c>
      <c r="AM134" s="3" t="s">
        <v>93</v>
      </c>
      <c r="AN134" s="3" t="s">
        <v>93</v>
      </c>
      <c r="AO134" s="3" t="s">
        <v>93</v>
      </c>
      <c r="AP134" s="3" t="s">
        <v>93</v>
      </c>
      <c r="AQ134" s="3" t="s">
        <v>93</v>
      </c>
      <c r="AR134" s="3" t="s">
        <v>93</v>
      </c>
      <c r="AS134" s="3" t="s">
        <v>93</v>
      </c>
      <c r="AT134" s="3" t="s">
        <v>93</v>
      </c>
      <c r="AU134" s="3" t="s">
        <v>93</v>
      </c>
      <c r="AV134" s="3" t="s">
        <v>93</v>
      </c>
      <c r="AW134" s="3" t="s">
        <v>93</v>
      </c>
      <c r="AX134" s="3" t="s">
        <v>94</v>
      </c>
      <c r="AY134" s="3" t="s">
        <v>93</v>
      </c>
      <c r="AZ134" s="3" t="s">
        <v>93</v>
      </c>
      <c r="BA134" s="3" t="s">
        <v>93</v>
      </c>
      <c r="BB134" s="3" t="s">
        <v>93</v>
      </c>
      <c r="BC134" s="3">
        <v>3</v>
      </c>
      <c r="BD134" s="3">
        <v>3</v>
      </c>
      <c r="BE134" s="3">
        <v>3</v>
      </c>
      <c r="BF134" s="3">
        <v>2</v>
      </c>
      <c r="BG134" s="3">
        <v>2</v>
      </c>
      <c r="BH134" s="3">
        <v>3</v>
      </c>
      <c r="BI134" s="3">
        <v>3</v>
      </c>
      <c r="BJ134" s="3">
        <v>3</v>
      </c>
      <c r="BK134" s="3">
        <v>2</v>
      </c>
      <c r="BL134" s="3">
        <v>3</v>
      </c>
      <c r="BM134" s="3">
        <v>4</v>
      </c>
      <c r="BN134" s="3">
        <v>5</v>
      </c>
      <c r="BO134" s="3">
        <v>3</v>
      </c>
      <c r="BP134" s="3">
        <v>3</v>
      </c>
      <c r="BQ134" s="3">
        <v>3</v>
      </c>
      <c r="BR134" s="3">
        <v>4</v>
      </c>
      <c r="BS134" s="3">
        <v>2</v>
      </c>
      <c r="BT134" s="3">
        <v>3</v>
      </c>
      <c r="BU134" s="3">
        <v>2</v>
      </c>
      <c r="BV134" s="3">
        <v>4</v>
      </c>
      <c r="BW134" s="3">
        <v>4</v>
      </c>
      <c r="BX134" s="3">
        <v>2</v>
      </c>
      <c r="BY134" s="3">
        <v>4</v>
      </c>
      <c r="BZ134" s="3">
        <v>4</v>
      </c>
      <c r="CA134" s="3">
        <v>4</v>
      </c>
      <c r="CB134" s="3">
        <v>4</v>
      </c>
      <c r="CC134" s="3">
        <v>3</v>
      </c>
      <c r="CD134" s="3">
        <v>3</v>
      </c>
      <c r="CF134" s="3">
        <v>19</v>
      </c>
      <c r="CG134" s="3">
        <v>27</v>
      </c>
      <c r="CH134" s="3">
        <v>61</v>
      </c>
      <c r="CI134" s="6">
        <f>COUNTIF(AG134:BB134, "Dispone")/22</f>
        <v>0.86363636363636365</v>
      </c>
      <c r="CJ134" s="7">
        <f>AVERAGE(BC134:BL134)</f>
        <v>2.7</v>
      </c>
      <c r="CK134" s="15">
        <f>AVERAGE(BM134:CD134)</f>
        <v>3.3888888888888888</v>
      </c>
      <c r="CL134" s="9" t="str">
        <f>IF(AND(CI134&gt;50%, CJ134&gt;2.5, CK134&gt;2.5), "Compromiso", "")</f>
        <v>Compromiso</v>
      </c>
      <c r="CM134" s="9" t="str">
        <f>IF(AND(CI134&gt;75%, CJ134&gt;4, CK134&gt;4), "Liderazgo", "")</f>
        <v/>
      </c>
      <c r="CN134" s="9" t="str">
        <f>IF(AND(CI134&gt;90%, CJ134&gt;4.5, CK134&gt;4.5), "Transformación", "")</f>
        <v/>
      </c>
      <c r="CO134" s="9" t="s">
        <v>95</v>
      </c>
      <c r="CP134" s="3" t="s">
        <v>95</v>
      </c>
    </row>
    <row r="135" spans="1:155" ht="20.25" customHeight="1" x14ac:dyDescent="0.25">
      <c r="C135" s="3" t="s">
        <v>871</v>
      </c>
      <c r="L135" s="3" t="s">
        <v>208</v>
      </c>
      <c r="M135" s="3" t="s">
        <v>209</v>
      </c>
      <c r="N135" s="3" t="s">
        <v>210</v>
      </c>
      <c r="O135" s="3" t="s">
        <v>992</v>
      </c>
      <c r="P135" s="3" t="s">
        <v>211</v>
      </c>
      <c r="Q135" s="3" t="s">
        <v>90</v>
      </c>
      <c r="R135" s="3">
        <v>1987</v>
      </c>
      <c r="S135" s="3">
        <v>1931</v>
      </c>
      <c r="T135" s="3">
        <v>13.938000000000001</v>
      </c>
      <c r="U135" s="3">
        <v>245</v>
      </c>
      <c r="V135" s="3">
        <v>0</v>
      </c>
      <c r="W135" s="3" t="s">
        <v>118</v>
      </c>
      <c r="X135" s="3">
        <v>0.26</v>
      </c>
      <c r="Y135" s="3" t="s">
        <v>92</v>
      </c>
      <c r="Z135" s="3">
        <v>73</v>
      </c>
      <c r="AA135" s="3">
        <v>3247851</v>
      </c>
      <c r="AB135" s="3">
        <v>33</v>
      </c>
      <c r="AC135" s="3">
        <v>5</v>
      </c>
      <c r="AD135" s="3">
        <v>7205</v>
      </c>
      <c r="AE135" s="3">
        <v>20</v>
      </c>
      <c r="AF135" s="3">
        <v>21178</v>
      </c>
      <c r="AG135" s="3" t="s">
        <v>93</v>
      </c>
      <c r="AH135" s="3" t="s">
        <v>93</v>
      </c>
      <c r="AI135" s="3" t="s">
        <v>94</v>
      </c>
      <c r="AJ135" s="3" t="s">
        <v>93</v>
      </c>
      <c r="AK135" s="3" t="s">
        <v>93</v>
      </c>
      <c r="AL135" s="3" t="s">
        <v>93</v>
      </c>
      <c r="AM135" s="3" t="s">
        <v>93</v>
      </c>
      <c r="AN135" s="3" t="s">
        <v>93</v>
      </c>
      <c r="AO135" s="3" t="s">
        <v>93</v>
      </c>
      <c r="AP135" s="3" t="s">
        <v>93</v>
      </c>
      <c r="AQ135" s="3" t="s">
        <v>93</v>
      </c>
      <c r="AR135" s="3" t="s">
        <v>93</v>
      </c>
      <c r="AS135" s="3" t="s">
        <v>93</v>
      </c>
      <c r="AT135" s="3" t="s">
        <v>93</v>
      </c>
      <c r="AU135" s="3" t="s">
        <v>93</v>
      </c>
      <c r="AV135" s="3" t="s">
        <v>93</v>
      </c>
      <c r="AW135" s="3" t="s">
        <v>94</v>
      </c>
      <c r="AX135" s="3" t="s">
        <v>94</v>
      </c>
      <c r="AY135" s="3" t="s">
        <v>94</v>
      </c>
      <c r="AZ135" s="3" t="s">
        <v>93</v>
      </c>
      <c r="BA135" s="3" t="s">
        <v>93</v>
      </c>
      <c r="BB135" s="3" t="s">
        <v>93</v>
      </c>
      <c r="BC135" s="3">
        <v>4</v>
      </c>
      <c r="BD135" s="3">
        <v>4</v>
      </c>
      <c r="BE135" s="3">
        <v>2</v>
      </c>
      <c r="BF135" s="3">
        <v>2</v>
      </c>
      <c r="BG135" s="3">
        <v>4</v>
      </c>
      <c r="BH135" s="3">
        <v>5</v>
      </c>
      <c r="BI135" s="3">
        <v>5</v>
      </c>
      <c r="BJ135" s="3">
        <v>2</v>
      </c>
      <c r="BK135" s="3">
        <v>2</v>
      </c>
      <c r="BL135" s="3">
        <v>3</v>
      </c>
      <c r="BM135" s="3">
        <v>5</v>
      </c>
      <c r="BN135" s="3">
        <v>5</v>
      </c>
      <c r="BO135" s="3">
        <v>3</v>
      </c>
      <c r="BP135" s="3">
        <v>5</v>
      </c>
      <c r="BQ135" s="3">
        <v>4</v>
      </c>
      <c r="BR135" s="3">
        <v>2</v>
      </c>
      <c r="BS135" s="3">
        <v>2</v>
      </c>
      <c r="BT135" s="3">
        <v>5</v>
      </c>
      <c r="BU135" s="3">
        <v>2</v>
      </c>
      <c r="BV135" s="3">
        <v>1</v>
      </c>
      <c r="BW135" s="3">
        <v>2</v>
      </c>
      <c r="BX135" s="3">
        <v>2</v>
      </c>
      <c r="BY135" s="3">
        <v>5</v>
      </c>
      <c r="BZ135" s="3">
        <v>5</v>
      </c>
      <c r="CA135" s="3">
        <v>1</v>
      </c>
      <c r="CB135" s="3">
        <v>5</v>
      </c>
      <c r="CC135" s="3">
        <v>2</v>
      </c>
      <c r="CD135" s="3">
        <v>2</v>
      </c>
      <c r="CE135" s="3" t="s">
        <v>212</v>
      </c>
      <c r="CF135" s="3">
        <v>18</v>
      </c>
      <c r="CG135" s="3">
        <v>33</v>
      </c>
      <c r="CH135" s="3">
        <v>58</v>
      </c>
      <c r="CI135" s="6">
        <f>COUNTIF(AG135:BB135, "Dispone")/22</f>
        <v>0.81818181818181823</v>
      </c>
      <c r="CJ135" s="7">
        <f>AVERAGE(BC135:BL135)</f>
        <v>3.3</v>
      </c>
      <c r="CK135" s="15">
        <f>AVERAGE(BM135:CD135)</f>
        <v>3.2222222222222223</v>
      </c>
      <c r="CL135" s="9" t="str">
        <f>IF(AND(CI135&gt;50%, CJ135&gt;2.5, CK135&gt;2.5), "Compromiso", "")</f>
        <v>Compromiso</v>
      </c>
      <c r="CM135" s="9" t="str">
        <f>IF(AND(CI135&gt;75%, CJ135&gt;4, CK135&gt;4), "Liderazgo", "")</f>
        <v/>
      </c>
      <c r="CN135" s="9" t="str">
        <f>IF(AND(CI135&gt;90%, CJ135&gt;4.5, CK135&gt;4.5), "Transformación", "")</f>
        <v/>
      </c>
      <c r="CO135" s="9" t="s">
        <v>95</v>
      </c>
      <c r="CP135" s="3" t="s">
        <v>95</v>
      </c>
    </row>
    <row r="136" spans="1:155" ht="20.25" customHeight="1" x14ac:dyDescent="0.25">
      <c r="C136" s="3" t="s">
        <v>871</v>
      </c>
      <c r="L136" s="3" t="s">
        <v>233</v>
      </c>
      <c r="M136" s="3" t="s">
        <v>234</v>
      </c>
      <c r="N136" s="3" t="s">
        <v>235</v>
      </c>
      <c r="O136" s="3" t="s">
        <v>993</v>
      </c>
      <c r="P136" s="3" t="s">
        <v>236</v>
      </c>
      <c r="Q136" s="3" t="s">
        <v>90</v>
      </c>
      <c r="R136" s="3">
        <v>1912</v>
      </c>
      <c r="S136" s="3">
        <v>2058</v>
      </c>
      <c r="T136" s="3">
        <v>12047</v>
      </c>
      <c r="U136" s="3">
        <v>0</v>
      </c>
      <c r="V136" s="3">
        <v>2126</v>
      </c>
      <c r="W136" s="3" t="s">
        <v>118</v>
      </c>
      <c r="X136" s="3">
        <v>0</v>
      </c>
      <c r="Y136" s="3" t="s">
        <v>92</v>
      </c>
      <c r="Z136" s="3">
        <v>179</v>
      </c>
      <c r="AA136" s="3">
        <v>0</v>
      </c>
      <c r="AB136" s="3">
        <v>0</v>
      </c>
      <c r="AC136" s="3">
        <v>0</v>
      </c>
      <c r="AD136" s="3">
        <v>0</v>
      </c>
      <c r="AE136" s="3">
        <v>0</v>
      </c>
      <c r="AF136" s="3">
        <v>0</v>
      </c>
      <c r="AG136" s="3" t="s">
        <v>93</v>
      </c>
      <c r="AH136" s="3" t="s">
        <v>93</v>
      </c>
      <c r="AI136" s="3" t="s">
        <v>94</v>
      </c>
      <c r="AJ136" s="3" t="s">
        <v>93</v>
      </c>
      <c r="AK136" s="3" t="s">
        <v>93</v>
      </c>
      <c r="AL136" s="3" t="s">
        <v>93</v>
      </c>
      <c r="AM136" s="3" t="s">
        <v>93</v>
      </c>
      <c r="AN136" s="3" t="s">
        <v>93</v>
      </c>
      <c r="AO136" s="3" t="s">
        <v>93</v>
      </c>
      <c r="AP136" s="3" t="s">
        <v>93</v>
      </c>
      <c r="AQ136" s="3" t="s">
        <v>93</v>
      </c>
      <c r="AR136" s="3" t="s">
        <v>93</v>
      </c>
      <c r="AS136" s="3" t="s">
        <v>93</v>
      </c>
      <c r="AT136" s="3" t="s">
        <v>93</v>
      </c>
      <c r="AU136" s="3" t="s">
        <v>93</v>
      </c>
      <c r="AV136" s="3" t="s">
        <v>93</v>
      </c>
      <c r="AW136" s="3" t="s">
        <v>93</v>
      </c>
      <c r="AX136" s="3" t="s">
        <v>94</v>
      </c>
      <c r="AY136" s="3" t="s">
        <v>94</v>
      </c>
      <c r="AZ136" s="3" t="s">
        <v>93</v>
      </c>
      <c r="BA136" s="3" t="s">
        <v>93</v>
      </c>
      <c r="BB136" s="3" t="s">
        <v>93</v>
      </c>
      <c r="BC136" s="3">
        <v>3</v>
      </c>
      <c r="BD136" s="3">
        <v>3</v>
      </c>
      <c r="BE136" s="3">
        <v>1</v>
      </c>
      <c r="BF136" s="3">
        <v>3</v>
      </c>
      <c r="BG136" s="3">
        <v>3</v>
      </c>
      <c r="BH136" s="3">
        <v>3</v>
      </c>
      <c r="BI136" s="3">
        <v>2</v>
      </c>
      <c r="BJ136" s="3">
        <v>3</v>
      </c>
      <c r="BK136" s="3">
        <v>3</v>
      </c>
      <c r="BL136" s="3">
        <v>3</v>
      </c>
      <c r="BM136" s="3">
        <v>3</v>
      </c>
      <c r="BN136" s="3">
        <v>3</v>
      </c>
      <c r="BO136" s="3">
        <v>3</v>
      </c>
      <c r="BP136" s="3">
        <v>3</v>
      </c>
      <c r="BQ136" s="3">
        <v>3</v>
      </c>
      <c r="BR136" s="3">
        <v>3</v>
      </c>
      <c r="BS136" s="3">
        <v>3</v>
      </c>
      <c r="BT136" s="3">
        <v>3</v>
      </c>
      <c r="BU136" s="3">
        <v>3</v>
      </c>
      <c r="BV136" s="3">
        <v>3</v>
      </c>
      <c r="BW136" s="3">
        <v>3</v>
      </c>
      <c r="BX136" s="3">
        <v>3</v>
      </c>
      <c r="BY136" s="3">
        <v>3</v>
      </c>
      <c r="BZ136" s="3">
        <v>3</v>
      </c>
      <c r="CA136" s="3">
        <v>3</v>
      </c>
      <c r="CB136" s="3">
        <v>3</v>
      </c>
      <c r="CC136" s="3">
        <v>3</v>
      </c>
      <c r="CD136" s="3">
        <v>3</v>
      </c>
      <c r="CE136" s="3" t="s">
        <v>237</v>
      </c>
      <c r="CF136" s="3">
        <v>19</v>
      </c>
      <c r="CG136" s="3">
        <v>27</v>
      </c>
      <c r="CH136" s="3">
        <v>54</v>
      </c>
      <c r="CI136" s="6">
        <f>COUNTIF(AG136:BB136, "Dispone")/22</f>
        <v>0.86363636363636365</v>
      </c>
      <c r="CJ136" s="7">
        <f>AVERAGE(BC136:BL136)</f>
        <v>2.7</v>
      </c>
      <c r="CK136" s="15">
        <f>AVERAGE(BM136:CD136)</f>
        <v>3</v>
      </c>
      <c r="CL136" s="9" t="str">
        <f>IF(AND(CI136&gt;50%, CJ136&gt;2.5, CK136&gt;2.5), "Compromiso", "")</f>
        <v>Compromiso</v>
      </c>
      <c r="CM136" s="9" t="str">
        <f>IF(AND(CI136&gt;75%, CJ136&gt;4, CK136&gt;4), "Liderazgo", "")</f>
        <v/>
      </c>
      <c r="CN136" s="9" t="str">
        <f>IF(AND(CI136&gt;90%, CJ136&gt;4.5, CK136&gt;4.5), "Transformación", "")</f>
        <v/>
      </c>
      <c r="CO136" s="9" t="s">
        <v>95</v>
      </c>
      <c r="CP136" s="3" t="s">
        <v>132</v>
      </c>
    </row>
    <row r="137" spans="1:155" ht="20.25" customHeight="1" x14ac:dyDescent="0.25">
      <c r="C137" s="3" t="s">
        <v>871</v>
      </c>
      <c r="L137" s="3" t="s">
        <v>315</v>
      </c>
      <c r="M137" s="3" t="s">
        <v>316</v>
      </c>
      <c r="N137" s="3" t="s">
        <v>317</v>
      </c>
      <c r="O137" s="3" t="s">
        <v>975</v>
      </c>
      <c r="P137" s="3">
        <v>1121781209</v>
      </c>
      <c r="Q137" s="3" t="s">
        <v>90</v>
      </c>
      <c r="R137" s="3">
        <v>1972</v>
      </c>
      <c r="S137" s="3">
        <v>998</v>
      </c>
      <c r="T137" s="3">
        <v>16.789000000000001</v>
      </c>
      <c r="U137" s="3">
        <v>23685</v>
      </c>
      <c r="V137" s="3">
        <v>0</v>
      </c>
      <c r="W137" s="3" t="s">
        <v>91</v>
      </c>
      <c r="X137" s="3">
        <v>0.76</v>
      </c>
      <c r="Y137" s="3" t="s">
        <v>92</v>
      </c>
      <c r="Z137" s="3">
        <v>11</v>
      </c>
      <c r="AA137" s="3">
        <v>2334739</v>
      </c>
      <c r="AB137" s="3">
        <v>898712</v>
      </c>
      <c r="AC137" s="3">
        <v>0</v>
      </c>
      <c r="AD137" s="3">
        <v>268325.40000000002</v>
      </c>
      <c r="AE137" s="3">
        <v>0.5</v>
      </c>
      <c r="AF137" s="3">
        <v>1500</v>
      </c>
      <c r="AG137" s="3" t="s">
        <v>93</v>
      </c>
      <c r="AH137" s="3" t="s">
        <v>93</v>
      </c>
      <c r="AI137" s="3" t="s">
        <v>93</v>
      </c>
      <c r="AJ137" s="3" t="s">
        <v>93</v>
      </c>
      <c r="AK137" s="3" t="s">
        <v>93</v>
      </c>
      <c r="AL137" s="3" t="s">
        <v>93</v>
      </c>
      <c r="AM137" s="3" t="s">
        <v>93</v>
      </c>
      <c r="AN137" s="3" t="s">
        <v>93</v>
      </c>
      <c r="AO137" s="3" t="s">
        <v>93</v>
      </c>
      <c r="AP137" s="3" t="s">
        <v>93</v>
      </c>
      <c r="AQ137" s="3" t="s">
        <v>93</v>
      </c>
      <c r="AR137" s="3" t="s">
        <v>93</v>
      </c>
      <c r="AS137" s="3" t="s">
        <v>93</v>
      </c>
      <c r="AT137" s="3" t="s">
        <v>93</v>
      </c>
      <c r="AU137" s="3" t="s">
        <v>93</v>
      </c>
      <c r="AV137" s="3" t="s">
        <v>93</v>
      </c>
      <c r="AW137" s="3" t="s">
        <v>93</v>
      </c>
      <c r="AX137" s="3" t="s">
        <v>93</v>
      </c>
      <c r="AY137" s="3" t="s">
        <v>93</v>
      </c>
      <c r="AZ137" s="3" t="s">
        <v>93</v>
      </c>
      <c r="BA137" s="3" t="s">
        <v>94</v>
      </c>
      <c r="BB137" s="3" t="s">
        <v>93</v>
      </c>
      <c r="BC137" s="3">
        <v>2</v>
      </c>
      <c r="BD137" s="3">
        <v>4</v>
      </c>
      <c r="BE137" s="3">
        <v>1</v>
      </c>
      <c r="BF137" s="3">
        <v>4</v>
      </c>
      <c r="BG137" s="3">
        <v>1</v>
      </c>
      <c r="BH137" s="3">
        <v>3</v>
      </c>
      <c r="BI137" s="3">
        <v>3</v>
      </c>
      <c r="BJ137" s="3">
        <v>4</v>
      </c>
      <c r="BK137" s="3">
        <v>2</v>
      </c>
      <c r="BL137" s="3">
        <v>3</v>
      </c>
      <c r="BM137" s="3">
        <v>2</v>
      </c>
      <c r="BN137" s="3">
        <v>4</v>
      </c>
      <c r="BO137" s="3">
        <v>4</v>
      </c>
      <c r="BP137" s="3">
        <v>4</v>
      </c>
      <c r="BQ137" s="3">
        <v>4</v>
      </c>
      <c r="BR137" s="3">
        <v>3</v>
      </c>
      <c r="BS137" s="3">
        <v>4</v>
      </c>
      <c r="BT137" s="3">
        <v>4</v>
      </c>
      <c r="BU137" s="3">
        <v>4</v>
      </c>
      <c r="BV137" s="3">
        <v>4</v>
      </c>
      <c r="BW137" s="3">
        <v>3</v>
      </c>
      <c r="BX137" s="3">
        <v>2</v>
      </c>
      <c r="BY137" s="3">
        <v>4</v>
      </c>
      <c r="BZ137" s="3">
        <v>5</v>
      </c>
      <c r="CA137" s="3">
        <v>5</v>
      </c>
      <c r="CB137" s="3">
        <v>5</v>
      </c>
      <c r="CC137" s="3">
        <v>5</v>
      </c>
      <c r="CD137" s="3">
        <v>5</v>
      </c>
      <c r="CE137" s="3" t="s">
        <v>318</v>
      </c>
      <c r="CF137" s="3">
        <v>21</v>
      </c>
      <c r="CG137" s="3">
        <v>27</v>
      </c>
      <c r="CH137" s="3">
        <v>71</v>
      </c>
      <c r="CI137" s="6">
        <f>COUNTIF(AG137:BB137, "Dispone")/22</f>
        <v>0.95454545454545459</v>
      </c>
      <c r="CJ137" s="7">
        <f>AVERAGE(BC137:BL137)</f>
        <v>2.7</v>
      </c>
      <c r="CK137" s="15">
        <f>AVERAGE(BM137:CD137)</f>
        <v>3.9444444444444446</v>
      </c>
      <c r="CL137" s="9" t="str">
        <f>IF(AND(CI137&gt;50%, CJ137&gt;2.5, CK137&gt;2.5), "Compromiso", "")</f>
        <v>Compromiso</v>
      </c>
      <c r="CM137" s="9" t="str">
        <f>IF(AND(CI137&gt;75%, CJ137&gt;4, CK137&gt;4), "Liderazgo", "")</f>
        <v/>
      </c>
      <c r="CN137" s="9" t="str">
        <f>IF(AND(CI137&gt;90%, CJ137&gt;4.5, CK137&gt;4.5), "Transformación", "")</f>
        <v/>
      </c>
      <c r="CO137" s="9" t="s">
        <v>95</v>
      </c>
      <c r="CP137" s="9" t="s">
        <v>146</v>
      </c>
    </row>
    <row r="138" spans="1:155" ht="20.25" customHeight="1" x14ac:dyDescent="0.25">
      <c r="C138" s="3" t="s">
        <v>871</v>
      </c>
      <c r="L138" s="3" t="s">
        <v>324</v>
      </c>
      <c r="M138" s="3" t="s">
        <v>894</v>
      </c>
      <c r="N138" s="3" t="s">
        <v>325</v>
      </c>
      <c r="O138" s="3" t="s">
        <v>994</v>
      </c>
      <c r="P138" s="3">
        <v>934017465</v>
      </c>
      <c r="Q138" s="3" t="s">
        <v>130</v>
      </c>
      <c r="R138" s="3">
        <v>1970</v>
      </c>
      <c r="S138" s="3">
        <v>4675</v>
      </c>
      <c r="T138" s="3">
        <v>31433</v>
      </c>
      <c r="U138" s="3">
        <v>31433</v>
      </c>
      <c r="V138" s="3">
        <v>0</v>
      </c>
      <c r="W138" s="3" t="s">
        <v>118</v>
      </c>
      <c r="X138" s="3">
        <v>10.78</v>
      </c>
      <c r="Y138" s="3" t="s">
        <v>153</v>
      </c>
      <c r="Z138" s="3">
        <v>95</v>
      </c>
      <c r="AA138" s="3">
        <v>36114000</v>
      </c>
      <c r="AB138" s="3">
        <v>1760</v>
      </c>
      <c r="AC138" s="3">
        <v>72</v>
      </c>
      <c r="AD138" s="3">
        <v>69218</v>
      </c>
      <c r="AE138" s="3">
        <v>0</v>
      </c>
      <c r="AF138" s="3">
        <v>4241000</v>
      </c>
      <c r="AG138" s="3" t="s">
        <v>94</v>
      </c>
      <c r="AH138" s="3" t="s">
        <v>93</v>
      </c>
      <c r="AI138" s="3" t="s">
        <v>93</v>
      </c>
      <c r="AJ138" s="3" t="s">
        <v>93</v>
      </c>
      <c r="AK138" s="3" t="s">
        <v>93</v>
      </c>
      <c r="AL138" s="3" t="s">
        <v>93</v>
      </c>
      <c r="AM138" s="3" t="s">
        <v>93</v>
      </c>
      <c r="AN138" s="3" t="s">
        <v>93</v>
      </c>
      <c r="AO138" s="3" t="s">
        <v>93</v>
      </c>
      <c r="AP138" s="3" t="s">
        <v>93</v>
      </c>
      <c r="AQ138" s="3" t="s">
        <v>94</v>
      </c>
      <c r="AR138" s="3" t="s">
        <v>93</v>
      </c>
      <c r="AS138" s="3" t="s">
        <v>93</v>
      </c>
      <c r="AT138" s="3" t="s">
        <v>93</v>
      </c>
      <c r="AU138" s="3" t="s">
        <v>93</v>
      </c>
      <c r="AV138" s="3" t="s">
        <v>93</v>
      </c>
      <c r="AW138" s="3" t="s">
        <v>93</v>
      </c>
      <c r="AX138" s="3" t="s">
        <v>94</v>
      </c>
      <c r="AY138" s="3" t="s">
        <v>93</v>
      </c>
      <c r="AZ138" s="3" t="s">
        <v>93</v>
      </c>
      <c r="BA138" s="3" t="s">
        <v>93</v>
      </c>
      <c r="BB138" s="3" t="s">
        <v>93</v>
      </c>
      <c r="BC138" s="3">
        <v>5</v>
      </c>
      <c r="BD138" s="3">
        <v>5</v>
      </c>
      <c r="BE138" s="3">
        <v>5</v>
      </c>
      <c r="BF138" s="3">
        <v>5</v>
      </c>
      <c r="BG138" s="3">
        <v>5</v>
      </c>
      <c r="BH138" s="3">
        <v>5</v>
      </c>
      <c r="BI138" s="3">
        <v>2</v>
      </c>
      <c r="BJ138" s="3">
        <v>4</v>
      </c>
      <c r="BK138" s="3">
        <v>4</v>
      </c>
      <c r="BL138" s="3">
        <v>3</v>
      </c>
      <c r="BM138" s="3">
        <v>3</v>
      </c>
      <c r="BN138" s="3">
        <v>5</v>
      </c>
      <c r="BO138" s="3">
        <v>3</v>
      </c>
      <c r="BP138" s="3">
        <v>2</v>
      </c>
      <c r="BQ138" s="3">
        <v>2</v>
      </c>
      <c r="BR138" s="3">
        <v>5</v>
      </c>
      <c r="BS138" s="3">
        <v>2</v>
      </c>
      <c r="BT138" s="3">
        <v>2</v>
      </c>
      <c r="BU138" s="3">
        <v>3</v>
      </c>
      <c r="BV138" s="3">
        <v>3</v>
      </c>
      <c r="BW138" s="3">
        <v>5</v>
      </c>
      <c r="BX138" s="3">
        <v>5</v>
      </c>
      <c r="BY138" s="3">
        <v>5</v>
      </c>
      <c r="BZ138" s="3">
        <v>5</v>
      </c>
      <c r="CA138" s="3">
        <v>5</v>
      </c>
      <c r="CB138" s="3">
        <v>5</v>
      </c>
      <c r="CC138" s="3">
        <v>3</v>
      </c>
      <c r="CD138" s="3">
        <v>5</v>
      </c>
      <c r="CE138" s="3" t="s">
        <v>326</v>
      </c>
      <c r="CF138" s="3">
        <v>19</v>
      </c>
      <c r="CG138" s="3">
        <v>43</v>
      </c>
      <c r="CH138" s="3">
        <v>68</v>
      </c>
      <c r="CI138" s="6">
        <f>COUNTIF(AG138:BB138, "Dispone")/22</f>
        <v>0.86363636363636365</v>
      </c>
      <c r="CJ138" s="7">
        <f>AVERAGE(BC138:BL138)</f>
        <v>4.3</v>
      </c>
      <c r="CK138" s="15">
        <f>AVERAGE(BM138:CD138)</f>
        <v>3.7777777777777777</v>
      </c>
      <c r="CL138" s="9" t="str">
        <f>IF(AND(CI138&gt;50%, CJ138&gt;2.5, CK138&gt;2.5), "Compromiso", "")</f>
        <v>Compromiso</v>
      </c>
      <c r="CM138" s="9" t="str">
        <f>IF(AND(CI138&gt;75%, CJ138&gt;4, CK138&gt;4), "Liderazgo", "")</f>
        <v/>
      </c>
      <c r="CN138" s="9" t="str">
        <f>IF(AND(CI138&gt;90%, CJ138&gt;4.5, CK138&gt;4.5), "Transformación", "")</f>
        <v/>
      </c>
      <c r="CO138" s="9" t="s">
        <v>95</v>
      </c>
      <c r="CP138" s="3" t="s">
        <v>146</v>
      </c>
    </row>
    <row r="139" spans="1:155" ht="20.25" customHeight="1" x14ac:dyDescent="0.25">
      <c r="C139" s="3" t="s">
        <v>871</v>
      </c>
      <c r="L139" s="3" t="s">
        <v>400</v>
      </c>
      <c r="M139" s="3" t="s">
        <v>895</v>
      </c>
      <c r="N139" s="3" t="s">
        <v>401</v>
      </c>
      <c r="O139" s="3" t="s">
        <v>995</v>
      </c>
      <c r="P139" s="3">
        <v>41996413136</v>
      </c>
      <c r="Q139" s="3" t="s">
        <v>90</v>
      </c>
      <c r="R139" s="3">
        <v>2005</v>
      </c>
      <c r="S139" s="3">
        <v>3647</v>
      </c>
      <c r="T139" s="3">
        <v>28000</v>
      </c>
      <c r="U139" s="3">
        <v>0</v>
      </c>
      <c r="V139" s="3">
        <v>0</v>
      </c>
      <c r="W139" s="3" t="s">
        <v>118</v>
      </c>
      <c r="X139" s="3">
        <v>100</v>
      </c>
      <c r="Y139" s="3" t="s">
        <v>92</v>
      </c>
      <c r="Z139" s="3">
        <v>13</v>
      </c>
      <c r="AA139" s="3">
        <v>12103050</v>
      </c>
      <c r="AB139" s="3">
        <v>414</v>
      </c>
      <c r="AC139" s="3">
        <v>10000</v>
      </c>
      <c r="AD139" s="3">
        <v>394688</v>
      </c>
      <c r="AE139" s="3">
        <v>0</v>
      </c>
      <c r="AF139" s="3">
        <v>0</v>
      </c>
      <c r="AG139" s="3" t="s">
        <v>93</v>
      </c>
      <c r="AH139" s="3" t="s">
        <v>93</v>
      </c>
      <c r="AI139" s="3" t="s">
        <v>93</v>
      </c>
      <c r="AJ139" s="3" t="s">
        <v>93</v>
      </c>
      <c r="AK139" s="3" t="s">
        <v>93</v>
      </c>
      <c r="AL139" s="3" t="s">
        <v>93</v>
      </c>
      <c r="AM139" s="3" t="s">
        <v>93</v>
      </c>
      <c r="AN139" s="3" t="s">
        <v>93</v>
      </c>
      <c r="AO139" s="3" t="s">
        <v>93</v>
      </c>
      <c r="AP139" s="3" t="s">
        <v>93</v>
      </c>
      <c r="AQ139" s="3" t="s">
        <v>93</v>
      </c>
      <c r="AR139" s="3" t="s">
        <v>94</v>
      </c>
      <c r="AS139" s="3" t="s">
        <v>93</v>
      </c>
      <c r="AT139" s="3" t="s">
        <v>93</v>
      </c>
      <c r="AU139" s="3" t="s">
        <v>94</v>
      </c>
      <c r="AV139" s="3" t="s">
        <v>93</v>
      </c>
      <c r="AW139" s="3" t="s">
        <v>93</v>
      </c>
      <c r="AX139" s="3" t="s">
        <v>94</v>
      </c>
      <c r="AY139" s="3" t="s">
        <v>94</v>
      </c>
      <c r="AZ139" s="3" t="s">
        <v>93</v>
      </c>
      <c r="BA139" s="3" t="s">
        <v>93</v>
      </c>
      <c r="BB139" s="3" t="s">
        <v>93</v>
      </c>
      <c r="BC139" s="3">
        <v>3</v>
      </c>
      <c r="BD139" s="3">
        <v>3</v>
      </c>
      <c r="BE139" s="3">
        <v>2</v>
      </c>
      <c r="BF139" s="3">
        <v>2</v>
      </c>
      <c r="BG139" s="3">
        <v>3</v>
      </c>
      <c r="BH139" s="3">
        <v>4</v>
      </c>
      <c r="BI139" s="3">
        <v>2</v>
      </c>
      <c r="BJ139" s="3">
        <v>3</v>
      </c>
      <c r="BK139" s="3">
        <v>3</v>
      </c>
      <c r="BL139" s="3">
        <v>2</v>
      </c>
      <c r="BM139" s="3">
        <v>3</v>
      </c>
      <c r="BN139" s="3">
        <v>3</v>
      </c>
      <c r="BO139" s="3">
        <v>3</v>
      </c>
      <c r="BP139" s="3">
        <v>4</v>
      </c>
      <c r="BQ139" s="3">
        <v>3</v>
      </c>
      <c r="BR139" s="3">
        <v>3</v>
      </c>
      <c r="BS139" s="3">
        <v>3</v>
      </c>
      <c r="BT139" s="3">
        <v>3</v>
      </c>
      <c r="BU139" s="3">
        <v>3</v>
      </c>
      <c r="BV139" s="3">
        <v>3</v>
      </c>
      <c r="BW139" s="3">
        <v>3</v>
      </c>
      <c r="BX139" s="3">
        <v>3</v>
      </c>
      <c r="BY139" s="3">
        <v>3</v>
      </c>
      <c r="BZ139" s="3">
        <v>3</v>
      </c>
      <c r="CA139" s="3">
        <v>3</v>
      </c>
      <c r="CB139" s="3">
        <v>3</v>
      </c>
      <c r="CC139" s="3">
        <v>3</v>
      </c>
      <c r="CD139" s="3">
        <v>3</v>
      </c>
      <c r="CE139" s="3" t="s">
        <v>402</v>
      </c>
      <c r="CF139" s="3">
        <v>18</v>
      </c>
      <c r="CG139" s="3">
        <v>27</v>
      </c>
      <c r="CH139" s="3">
        <v>55</v>
      </c>
      <c r="CI139" s="6">
        <f>COUNTIF(AG139:BB139, "Dispone")/22</f>
        <v>0.81818181818181823</v>
      </c>
      <c r="CJ139" s="7">
        <f>AVERAGE(BC139:BL139)</f>
        <v>2.7</v>
      </c>
      <c r="CK139" s="15">
        <f>AVERAGE(BM139:CD139)</f>
        <v>3.0555555555555554</v>
      </c>
      <c r="CL139" s="9" t="str">
        <f>IF(AND(CI139&gt;50%, CJ139&gt;2.5, CK139&gt;2.5), "Compromiso", "")</f>
        <v>Compromiso</v>
      </c>
      <c r="CM139" s="9" t="str">
        <f>IF(AND(CI139&gt;75%, CJ139&gt;4, CK139&gt;4), "Liderazgo", "")</f>
        <v/>
      </c>
      <c r="CN139" s="9" t="str">
        <f>IF(AND(CI139&gt;90%, CJ139&gt;4.5, CK139&gt;4.5), "Transformación", "")</f>
        <v/>
      </c>
      <c r="CO139" s="9" t="s">
        <v>95</v>
      </c>
      <c r="CP139" s="3" t="s">
        <v>95</v>
      </c>
    </row>
    <row r="140" spans="1:155" ht="20.25" customHeight="1" x14ac:dyDescent="0.25">
      <c r="C140" s="3" t="s">
        <v>871</v>
      </c>
      <c r="L140" s="3" t="s">
        <v>410</v>
      </c>
      <c r="M140" s="3" t="s">
        <v>411</v>
      </c>
      <c r="N140" s="3" t="s">
        <v>412</v>
      </c>
      <c r="O140" s="3" t="s">
        <v>996</v>
      </c>
      <c r="P140" s="3" t="s">
        <v>413</v>
      </c>
      <c r="Q140" s="3" t="s">
        <v>90</v>
      </c>
      <c r="R140" s="3">
        <v>1966</v>
      </c>
      <c r="S140" s="3">
        <v>2123</v>
      </c>
      <c r="T140" s="3">
        <v>19749</v>
      </c>
      <c r="U140" s="3">
        <v>711</v>
      </c>
      <c r="V140" s="3">
        <v>0</v>
      </c>
      <c r="W140" s="3" t="s">
        <v>118</v>
      </c>
      <c r="X140" s="3">
        <v>0.08</v>
      </c>
      <c r="Y140" s="3" t="s">
        <v>92</v>
      </c>
      <c r="Z140" s="3">
        <v>77</v>
      </c>
      <c r="AA140" s="3">
        <v>4447159</v>
      </c>
      <c r="AB140" s="3">
        <v>109</v>
      </c>
      <c r="AC140" s="3">
        <v>30</v>
      </c>
      <c r="AD140" s="3">
        <v>42972</v>
      </c>
      <c r="AE140" s="3">
        <v>8</v>
      </c>
      <c r="AF140" s="3">
        <v>74798</v>
      </c>
      <c r="AG140" s="3" t="s">
        <v>94</v>
      </c>
      <c r="AH140" s="3" t="s">
        <v>93</v>
      </c>
      <c r="AI140" s="3" t="s">
        <v>94</v>
      </c>
      <c r="AJ140" s="3" t="s">
        <v>93</v>
      </c>
      <c r="AK140" s="3" t="s">
        <v>93</v>
      </c>
      <c r="AL140" s="3" t="s">
        <v>93</v>
      </c>
      <c r="AM140" s="3" t="s">
        <v>93</v>
      </c>
      <c r="AN140" s="3" t="s">
        <v>93</v>
      </c>
      <c r="AO140" s="3" t="s">
        <v>93</v>
      </c>
      <c r="AP140" s="3" t="s">
        <v>93</v>
      </c>
      <c r="AQ140" s="3" t="s">
        <v>93</v>
      </c>
      <c r="AR140" s="3" t="s">
        <v>93</v>
      </c>
      <c r="AS140" s="3" t="s">
        <v>93</v>
      </c>
      <c r="AT140" s="3" t="s">
        <v>93</v>
      </c>
      <c r="AU140" s="3" t="s">
        <v>93</v>
      </c>
      <c r="AV140" s="3" t="s">
        <v>93</v>
      </c>
      <c r="AW140" s="3" t="s">
        <v>93</v>
      </c>
      <c r="AX140" s="3" t="s">
        <v>93</v>
      </c>
      <c r="AY140" s="3" t="s">
        <v>93</v>
      </c>
      <c r="AZ140" s="3" t="s">
        <v>93</v>
      </c>
      <c r="BA140" s="3" t="s">
        <v>93</v>
      </c>
      <c r="BB140" s="3" t="s">
        <v>93</v>
      </c>
      <c r="BC140" s="3">
        <v>5</v>
      </c>
      <c r="BD140" s="3">
        <v>5</v>
      </c>
      <c r="BE140" s="3">
        <v>2</v>
      </c>
      <c r="BF140" s="3">
        <v>3</v>
      </c>
      <c r="BG140" s="3">
        <v>4</v>
      </c>
      <c r="BH140" s="3">
        <v>4</v>
      </c>
      <c r="BI140" s="3">
        <v>4</v>
      </c>
      <c r="BJ140" s="3">
        <v>4</v>
      </c>
      <c r="BK140" s="3">
        <v>2</v>
      </c>
      <c r="BL140" s="3">
        <v>1</v>
      </c>
      <c r="BM140" s="3">
        <v>5</v>
      </c>
      <c r="BN140" s="3">
        <v>5</v>
      </c>
      <c r="BO140" s="3">
        <v>5</v>
      </c>
      <c r="BP140" s="3">
        <v>4</v>
      </c>
      <c r="BQ140" s="3">
        <v>2</v>
      </c>
      <c r="BR140" s="3">
        <v>5</v>
      </c>
      <c r="BS140" s="3">
        <v>5</v>
      </c>
      <c r="BT140" s="3">
        <v>5</v>
      </c>
      <c r="BU140" s="3">
        <v>3</v>
      </c>
      <c r="BV140" s="3">
        <v>4</v>
      </c>
      <c r="BW140" s="3">
        <v>4</v>
      </c>
      <c r="BX140" s="3">
        <v>5</v>
      </c>
      <c r="BY140" s="3">
        <v>4</v>
      </c>
      <c r="BZ140" s="3">
        <v>5</v>
      </c>
      <c r="CA140" s="3">
        <v>5</v>
      </c>
      <c r="CB140" s="3">
        <v>5</v>
      </c>
      <c r="CC140" s="3">
        <v>5</v>
      </c>
      <c r="CD140" s="3">
        <v>5</v>
      </c>
      <c r="CF140" s="3">
        <v>20</v>
      </c>
      <c r="CG140" s="3">
        <v>34</v>
      </c>
      <c r="CH140" s="3">
        <v>81</v>
      </c>
      <c r="CI140" s="6">
        <f>COUNTIF(AG140:BB140, "Dispone")/22</f>
        <v>0.90909090909090906</v>
      </c>
      <c r="CJ140" s="7">
        <f>AVERAGE(BC140:BL140)</f>
        <v>3.4</v>
      </c>
      <c r="CK140" s="15">
        <f>AVERAGE(BM140:CD140)</f>
        <v>4.5</v>
      </c>
      <c r="CL140" s="9" t="str">
        <f>IF(AND(CI140&gt;50%, CJ140&gt;2.5, CK140&gt;2.5), "Compromiso", "")</f>
        <v>Compromiso</v>
      </c>
      <c r="CM140" s="9" t="str">
        <f>IF(AND(CI140&gt;75%, CJ140&gt;4, CK140&gt;4), "Liderazgo", "")</f>
        <v/>
      </c>
      <c r="CN140" s="9" t="str">
        <f>IF(AND(CI140&gt;90%, CJ140&gt;4.5, CK140&gt;4.5), "Transformación", "")</f>
        <v/>
      </c>
      <c r="CO140" s="9" t="s">
        <v>95</v>
      </c>
      <c r="CP140" s="3" t="s">
        <v>95</v>
      </c>
    </row>
    <row r="141" spans="1:155" ht="20.25" customHeight="1" x14ac:dyDescent="0.25">
      <c r="C141" s="3" t="s">
        <v>871</v>
      </c>
      <c r="L141" s="3" t="s">
        <v>434</v>
      </c>
      <c r="M141" s="3" t="s">
        <v>107</v>
      </c>
      <c r="O141" s="3" t="s">
        <v>907</v>
      </c>
      <c r="Q141" s="3" t="s">
        <v>130</v>
      </c>
      <c r="AG141" s="3" t="s">
        <v>93</v>
      </c>
      <c r="AH141" s="3" t="s">
        <v>93</v>
      </c>
      <c r="AJ141" s="3" t="s">
        <v>93</v>
      </c>
      <c r="AK141" s="3" t="s">
        <v>93</v>
      </c>
      <c r="AL141" s="3" t="s">
        <v>93</v>
      </c>
      <c r="AM141" s="3" t="s">
        <v>93</v>
      </c>
      <c r="AN141" s="3" t="s">
        <v>94</v>
      </c>
      <c r="AO141" s="3" t="s">
        <v>93</v>
      </c>
      <c r="AP141" s="3" t="s">
        <v>93</v>
      </c>
      <c r="AQ141" s="3" t="s">
        <v>93</v>
      </c>
      <c r="AR141" s="3" t="s">
        <v>93</v>
      </c>
      <c r="AS141" s="3" t="s">
        <v>93</v>
      </c>
      <c r="AT141" s="3" t="s">
        <v>93</v>
      </c>
      <c r="AU141" s="3" t="s">
        <v>93</v>
      </c>
      <c r="AV141" s="3" t="s">
        <v>93</v>
      </c>
      <c r="AW141" s="3" t="s">
        <v>93</v>
      </c>
      <c r="AX141" s="3" t="s">
        <v>94</v>
      </c>
      <c r="AY141" s="3" t="s">
        <v>94</v>
      </c>
      <c r="AZ141" s="3" t="s">
        <v>93</v>
      </c>
      <c r="BA141" s="3" t="s">
        <v>93</v>
      </c>
      <c r="BB141" s="3" t="s">
        <v>93</v>
      </c>
      <c r="BC141" s="3">
        <v>5</v>
      </c>
      <c r="BD141" s="3">
        <v>5</v>
      </c>
      <c r="BE141" s="3">
        <v>5</v>
      </c>
      <c r="BF141" s="3">
        <v>2</v>
      </c>
      <c r="BG141" s="3">
        <v>5</v>
      </c>
      <c r="BH141" s="3">
        <v>5</v>
      </c>
      <c r="BI141" s="3">
        <v>2</v>
      </c>
      <c r="BJ141" s="3">
        <v>4</v>
      </c>
      <c r="BK141" s="3">
        <v>3</v>
      </c>
      <c r="BL141" s="3">
        <v>2</v>
      </c>
      <c r="BM141" s="3">
        <v>5</v>
      </c>
      <c r="BN141" s="3">
        <v>5</v>
      </c>
      <c r="BO141" s="3">
        <v>5</v>
      </c>
      <c r="BP141" s="3">
        <v>3</v>
      </c>
      <c r="BQ141" s="3">
        <v>3</v>
      </c>
      <c r="BR141" s="3">
        <v>5</v>
      </c>
      <c r="BS141" s="3">
        <v>5</v>
      </c>
      <c r="BT141" s="3">
        <v>5</v>
      </c>
      <c r="BU141" s="3">
        <v>2</v>
      </c>
      <c r="BV141" s="3">
        <v>5</v>
      </c>
      <c r="BW141" s="3">
        <v>4</v>
      </c>
      <c r="BX141" s="3">
        <v>5</v>
      </c>
      <c r="BY141" s="3">
        <v>5</v>
      </c>
      <c r="BZ141" s="3">
        <v>5</v>
      </c>
      <c r="CA141" s="3">
        <v>5</v>
      </c>
      <c r="CB141" s="3">
        <v>5</v>
      </c>
      <c r="CC141" s="3">
        <v>5</v>
      </c>
      <c r="CD141" s="3">
        <v>5</v>
      </c>
      <c r="CF141" s="3">
        <f>COUNTIF(AG141:BB141, "Dispone")</f>
        <v>18</v>
      </c>
      <c r="CG141" s="3">
        <v>38</v>
      </c>
      <c r="CH141" s="3">
        <f>SUM(BM141:CD141)</f>
        <v>82</v>
      </c>
      <c r="CI141" s="6">
        <f>COUNTIF(AG141:BB141, "Dispone")/22</f>
        <v>0.81818181818181823</v>
      </c>
      <c r="CJ141" s="7">
        <f>AVERAGE(BC141:BL141)</f>
        <v>3.8</v>
      </c>
      <c r="CK141" s="8">
        <f>AVERAGE(BM141:CD141)</f>
        <v>4.5555555555555554</v>
      </c>
      <c r="CL141" s="9" t="str">
        <f>IF(AND(CI141&gt;50%, CJ141&gt;2.5, CK141&gt;2.5), "Compromiso", "")</f>
        <v>Compromiso</v>
      </c>
      <c r="CM141" s="9" t="str">
        <f>IF(AND(CI141&gt;75%, CJ141&gt;4, CK141&gt;4), "Liderazgo", "")</f>
        <v/>
      </c>
      <c r="CN141" s="9" t="str">
        <f>IF(AND(CI141&gt;90%, CJ141&gt;4.5, CK141&gt;4.5), "Transformación", "")</f>
        <v/>
      </c>
      <c r="CO141" s="9" t="s">
        <v>95</v>
      </c>
      <c r="CP141" s="3" t="s">
        <v>146</v>
      </c>
    </row>
    <row r="142" spans="1:155" ht="20.25" customHeight="1" x14ac:dyDescent="0.25">
      <c r="C142" s="3" t="s">
        <v>871</v>
      </c>
      <c r="L142" s="3" t="s">
        <v>484</v>
      </c>
      <c r="M142" s="3" t="s">
        <v>485</v>
      </c>
      <c r="N142" s="3" t="s">
        <v>486</v>
      </c>
      <c r="O142" s="3" t="s">
        <v>997</v>
      </c>
      <c r="P142" s="3" t="s">
        <v>487</v>
      </c>
      <c r="Q142" s="3" t="s">
        <v>90</v>
      </c>
      <c r="R142" s="3">
        <v>1969</v>
      </c>
      <c r="S142" s="3">
        <v>3028</v>
      </c>
      <c r="T142" s="3">
        <v>10296</v>
      </c>
      <c r="U142" s="3">
        <v>649</v>
      </c>
      <c r="V142" s="3">
        <v>0</v>
      </c>
      <c r="W142" s="3" t="s">
        <v>118</v>
      </c>
      <c r="X142" s="3">
        <v>0.88</v>
      </c>
      <c r="Y142" s="3" t="s">
        <v>92</v>
      </c>
      <c r="Z142" s="3">
        <v>137</v>
      </c>
      <c r="AA142" s="3">
        <v>4905653</v>
      </c>
      <c r="AB142" s="3">
        <v>4200</v>
      </c>
      <c r="AC142" s="3">
        <v>80</v>
      </c>
      <c r="AD142" s="3">
        <v>1</v>
      </c>
      <c r="AE142" s="3">
        <v>107107</v>
      </c>
      <c r="AF142" s="3">
        <v>1649718</v>
      </c>
      <c r="AG142" s="3" t="s">
        <v>93</v>
      </c>
      <c r="AH142" s="3" t="s">
        <v>93</v>
      </c>
      <c r="AI142" s="3" t="s">
        <v>93</v>
      </c>
      <c r="AJ142" s="3" t="s">
        <v>93</v>
      </c>
      <c r="AK142" s="3" t="s">
        <v>93</v>
      </c>
      <c r="AL142" s="3" t="s">
        <v>93</v>
      </c>
      <c r="AM142" s="3" t="s">
        <v>93</v>
      </c>
      <c r="AN142" s="3" t="s">
        <v>93</v>
      </c>
      <c r="AO142" s="3" t="s">
        <v>93</v>
      </c>
      <c r="AP142" s="3" t="s">
        <v>93</v>
      </c>
      <c r="AQ142" s="3" t="s">
        <v>93</v>
      </c>
      <c r="AR142" s="3" t="s">
        <v>93</v>
      </c>
      <c r="AS142" s="3" t="s">
        <v>93</v>
      </c>
      <c r="AT142" s="3" t="s">
        <v>93</v>
      </c>
      <c r="AU142" s="3" t="s">
        <v>93</v>
      </c>
      <c r="AV142" s="3" t="s">
        <v>93</v>
      </c>
      <c r="AW142" s="3" t="s">
        <v>93</v>
      </c>
      <c r="AX142" s="3" t="s">
        <v>94</v>
      </c>
      <c r="AY142" s="3" t="s">
        <v>94</v>
      </c>
      <c r="AZ142" s="3" t="s">
        <v>93</v>
      </c>
      <c r="BA142" s="3" t="s">
        <v>93</v>
      </c>
      <c r="BB142" s="3" t="s">
        <v>93</v>
      </c>
      <c r="BC142" s="3">
        <v>3</v>
      </c>
      <c r="BD142" s="3">
        <v>4</v>
      </c>
      <c r="BE142" s="3">
        <v>2</v>
      </c>
      <c r="BF142" s="3">
        <v>4</v>
      </c>
      <c r="BG142" s="3">
        <v>5</v>
      </c>
      <c r="BH142" s="3">
        <v>3</v>
      </c>
      <c r="BI142" s="3">
        <v>5</v>
      </c>
      <c r="BJ142" s="3">
        <v>5</v>
      </c>
      <c r="BK142" s="3">
        <v>5</v>
      </c>
      <c r="BL142" s="3">
        <v>5</v>
      </c>
      <c r="BM142" s="3">
        <v>5</v>
      </c>
      <c r="BN142" s="3">
        <v>5</v>
      </c>
      <c r="BO142" s="3">
        <v>5</v>
      </c>
      <c r="BP142" s="3">
        <v>5</v>
      </c>
      <c r="BQ142" s="3">
        <v>5</v>
      </c>
      <c r="BR142" s="3">
        <v>5</v>
      </c>
      <c r="BS142" s="3">
        <v>5</v>
      </c>
      <c r="BT142" s="3">
        <v>5</v>
      </c>
      <c r="BU142" s="3">
        <v>5</v>
      </c>
      <c r="BV142" s="3">
        <v>5</v>
      </c>
      <c r="BW142" s="3">
        <v>5</v>
      </c>
      <c r="BX142" s="3">
        <v>5</v>
      </c>
      <c r="BY142" s="3">
        <v>5</v>
      </c>
      <c r="BZ142" s="3">
        <v>5</v>
      </c>
      <c r="CA142" s="3">
        <v>5</v>
      </c>
      <c r="CB142" s="3">
        <v>5</v>
      </c>
      <c r="CC142" s="3">
        <v>5</v>
      </c>
      <c r="CD142" s="3">
        <v>5</v>
      </c>
      <c r="CE142" s="3" t="s">
        <v>488</v>
      </c>
      <c r="CF142" s="3">
        <v>20</v>
      </c>
      <c r="CG142" s="3">
        <v>41</v>
      </c>
      <c r="CH142" s="3">
        <v>90</v>
      </c>
      <c r="CI142" s="6">
        <f>COUNTIF(AG142:BB142, "Dispone")/22</f>
        <v>0.90909090909090906</v>
      </c>
      <c r="CJ142" s="7">
        <f>AVERAGE(BC142:BL142)</f>
        <v>4.0999999999999996</v>
      </c>
      <c r="CK142" s="15">
        <f>AVERAGE(BM142:CD142)</f>
        <v>5</v>
      </c>
      <c r="CL142" s="9" t="str">
        <f>IF(AND(CI142&gt;50%, CJ142&gt;2.5, CK142&gt;2.5), "Compromiso", "")</f>
        <v>Compromiso</v>
      </c>
      <c r="CM142" s="9" t="str">
        <f>IF(AND(CI142&gt;75%, CJ142&gt;4, CK142&gt;4), "Liderazgo", "")</f>
        <v>Liderazgo</v>
      </c>
      <c r="CN142" s="9" t="str">
        <f>IF(AND(CI142&gt;90%, CJ142&gt;4.5, CK142&gt;4.5), "Transformación", "")</f>
        <v/>
      </c>
      <c r="CO142" s="9" t="s">
        <v>103</v>
      </c>
      <c r="CP142" s="3" t="s">
        <v>103</v>
      </c>
    </row>
    <row r="143" spans="1:155" ht="20.25" customHeight="1" x14ac:dyDescent="0.25">
      <c r="C143" s="3" t="s">
        <v>871</v>
      </c>
      <c r="L143" s="3" t="s">
        <v>514</v>
      </c>
      <c r="M143" s="3" t="s">
        <v>515</v>
      </c>
      <c r="N143" s="3" t="s">
        <v>516</v>
      </c>
      <c r="O143" s="3" t="s">
        <v>998</v>
      </c>
      <c r="Q143" s="3" t="s">
        <v>144</v>
      </c>
      <c r="R143" s="3">
        <v>1944</v>
      </c>
      <c r="S143" s="3">
        <v>12604</v>
      </c>
      <c r="T143" s="3">
        <v>67718</v>
      </c>
      <c r="U143" s="3">
        <v>1137</v>
      </c>
      <c r="V143" s="3">
        <v>765</v>
      </c>
      <c r="W143" s="3" t="s">
        <v>118</v>
      </c>
      <c r="X143" s="3">
        <v>0.05</v>
      </c>
      <c r="Y143" s="3" t="s">
        <v>92</v>
      </c>
      <c r="Z143" s="3">
        <v>446</v>
      </c>
      <c r="AA143" s="3">
        <v>17309089</v>
      </c>
      <c r="AB143" s="3">
        <v>7685</v>
      </c>
      <c r="AC143" s="3">
        <v>14</v>
      </c>
      <c r="AD143" s="3">
        <v>153221</v>
      </c>
      <c r="AE143" s="3">
        <v>9</v>
      </c>
      <c r="AF143" s="3">
        <v>136234</v>
      </c>
      <c r="AG143" s="3" t="s">
        <v>93</v>
      </c>
      <c r="AH143" s="3" t="s">
        <v>93</v>
      </c>
      <c r="AI143" s="3" t="s">
        <v>93</v>
      </c>
      <c r="AJ143" s="3" t="s">
        <v>93</v>
      </c>
      <c r="AK143" s="3" t="s">
        <v>93</v>
      </c>
      <c r="AL143" s="3" t="s">
        <v>93</v>
      </c>
      <c r="AM143" s="3" t="s">
        <v>93</v>
      </c>
      <c r="AN143" s="3" t="s">
        <v>93</v>
      </c>
      <c r="AO143" s="3" t="s">
        <v>93</v>
      </c>
      <c r="AP143" s="3" t="s">
        <v>93</v>
      </c>
      <c r="AQ143" s="3" t="s">
        <v>93</v>
      </c>
      <c r="AR143" s="3" t="s">
        <v>93</v>
      </c>
      <c r="AS143" s="3" t="s">
        <v>93</v>
      </c>
      <c r="AT143" s="3" t="s">
        <v>93</v>
      </c>
      <c r="AU143" s="3" t="s">
        <v>93</v>
      </c>
      <c r="AV143" s="3" t="s">
        <v>93</v>
      </c>
      <c r="AW143" s="3" t="s">
        <v>94</v>
      </c>
      <c r="AX143" s="3" t="s">
        <v>94</v>
      </c>
      <c r="AY143" s="3" t="s">
        <v>93</v>
      </c>
      <c r="AZ143" s="3" t="s">
        <v>93</v>
      </c>
      <c r="BA143" s="3" t="s">
        <v>93</v>
      </c>
      <c r="BB143" s="3" t="s">
        <v>93</v>
      </c>
      <c r="BC143" s="3">
        <v>3</v>
      </c>
      <c r="BD143" s="3">
        <v>5</v>
      </c>
      <c r="BE143" s="3">
        <v>3</v>
      </c>
      <c r="BF143" s="3">
        <v>5</v>
      </c>
      <c r="BG143" s="3">
        <v>3</v>
      </c>
      <c r="BH143" s="3">
        <v>5</v>
      </c>
      <c r="BI143" s="3">
        <v>5</v>
      </c>
      <c r="BJ143" s="3">
        <v>5</v>
      </c>
      <c r="BK143" s="3">
        <v>5</v>
      </c>
      <c r="BL143" s="3">
        <v>5</v>
      </c>
      <c r="BM143" s="3">
        <v>5</v>
      </c>
      <c r="BN143" s="3">
        <v>5</v>
      </c>
      <c r="BO143" s="3">
        <v>4</v>
      </c>
      <c r="BP143" s="3">
        <v>5</v>
      </c>
      <c r="BQ143" s="3">
        <v>4</v>
      </c>
      <c r="BR143" s="3">
        <v>5</v>
      </c>
      <c r="BS143" s="3">
        <v>5</v>
      </c>
      <c r="BT143" s="3">
        <v>3</v>
      </c>
      <c r="BU143" s="3">
        <v>5</v>
      </c>
      <c r="BV143" s="3">
        <v>4</v>
      </c>
      <c r="BW143" s="3">
        <v>5</v>
      </c>
      <c r="BX143" s="3">
        <v>4</v>
      </c>
      <c r="BY143" s="3">
        <v>4</v>
      </c>
      <c r="BZ143" s="3">
        <v>5</v>
      </c>
      <c r="CA143" s="3">
        <v>5</v>
      </c>
      <c r="CB143" s="3">
        <v>5</v>
      </c>
      <c r="CC143" s="3">
        <v>5</v>
      </c>
      <c r="CD143" s="3">
        <v>4</v>
      </c>
      <c r="CF143" s="3">
        <v>20</v>
      </c>
      <c r="CG143" s="3">
        <v>44</v>
      </c>
      <c r="CH143" s="3">
        <v>82</v>
      </c>
      <c r="CI143" s="6">
        <f>COUNTIF(AG143:BB143, "Dispone")/22</f>
        <v>0.90909090909090906</v>
      </c>
      <c r="CJ143" s="7">
        <f>AVERAGE(BC143:BL143)</f>
        <v>4.4000000000000004</v>
      </c>
      <c r="CK143" s="15">
        <f>AVERAGE(BM143:CD143)</f>
        <v>4.5555555555555554</v>
      </c>
      <c r="CL143" s="9" t="str">
        <f>IF(AND(CI143&gt;50%, CJ143&gt;2.5, CK143&gt;2.5), "Compromiso", "")</f>
        <v>Compromiso</v>
      </c>
      <c r="CM143" s="9" t="str">
        <f>IF(AND(CI143&gt;75%, CJ143&gt;4, CK143&gt;4), "Liderazgo", "")</f>
        <v>Liderazgo</v>
      </c>
      <c r="CN143" s="9" t="str">
        <f>IF(AND(CI143&gt;90%, CJ143&gt;4.5, CK143&gt;4.5), "Transformación", "")</f>
        <v/>
      </c>
      <c r="CO143" s="9" t="s">
        <v>103</v>
      </c>
      <c r="CP143" s="3" t="s">
        <v>103</v>
      </c>
    </row>
    <row r="144" spans="1:155" ht="20.25" customHeight="1" x14ac:dyDescent="0.25">
      <c r="C144" s="3" t="s">
        <v>871</v>
      </c>
      <c r="L144" s="3" t="s">
        <v>574</v>
      </c>
      <c r="M144" s="3" t="s">
        <v>107</v>
      </c>
      <c r="O144" s="3" t="s">
        <v>907</v>
      </c>
      <c r="Q144" s="3" t="s">
        <v>130</v>
      </c>
      <c r="AG144" s="3" t="s">
        <v>93</v>
      </c>
      <c r="AH144" s="3" t="s">
        <v>93</v>
      </c>
      <c r="AI144" s="5"/>
      <c r="AJ144" s="3" t="s">
        <v>93</v>
      </c>
      <c r="AK144" s="3" t="s">
        <v>93</v>
      </c>
      <c r="AL144" s="3" t="s">
        <v>93</v>
      </c>
      <c r="AM144" s="3" t="s">
        <v>93</v>
      </c>
      <c r="AN144" s="3" t="s">
        <v>93</v>
      </c>
      <c r="AO144" s="3" t="s">
        <v>93</v>
      </c>
      <c r="AP144" s="3" t="s">
        <v>93</v>
      </c>
      <c r="AQ144" s="3" t="s">
        <v>93</v>
      </c>
      <c r="AR144" s="3" t="s">
        <v>93</v>
      </c>
      <c r="AS144" s="3" t="s">
        <v>93</v>
      </c>
      <c r="AT144" s="3" t="s">
        <v>93</v>
      </c>
      <c r="AU144" s="3" t="s">
        <v>93</v>
      </c>
      <c r="AV144" s="3" t="s">
        <v>93</v>
      </c>
      <c r="AW144" s="3" t="s">
        <v>93</v>
      </c>
      <c r="AX144" s="3" t="s">
        <v>93</v>
      </c>
      <c r="AY144" s="3" t="s">
        <v>93</v>
      </c>
      <c r="AZ144" s="3" t="s">
        <v>93</v>
      </c>
      <c r="BA144" s="3" t="s">
        <v>93</v>
      </c>
      <c r="BB144" s="3" t="s">
        <v>93</v>
      </c>
      <c r="BC144" s="3">
        <v>4</v>
      </c>
      <c r="BD144" s="3">
        <v>5</v>
      </c>
      <c r="BE144" s="3">
        <v>3</v>
      </c>
      <c r="BF144" s="3">
        <v>4</v>
      </c>
      <c r="BG144" s="3">
        <v>4</v>
      </c>
      <c r="BH144" s="3">
        <v>5</v>
      </c>
      <c r="BI144" s="3">
        <v>3</v>
      </c>
      <c r="BJ144" s="3">
        <v>5</v>
      </c>
      <c r="BK144" s="3">
        <v>4</v>
      </c>
      <c r="BL144" s="3">
        <v>4</v>
      </c>
      <c r="BM144" s="3">
        <v>5</v>
      </c>
      <c r="BN144" s="3">
        <v>5</v>
      </c>
      <c r="BO144" s="3">
        <v>4</v>
      </c>
      <c r="BP144" s="3">
        <v>3</v>
      </c>
      <c r="BQ144" s="3">
        <v>3</v>
      </c>
      <c r="BR144" s="3">
        <v>5</v>
      </c>
      <c r="BS144" s="3">
        <v>5</v>
      </c>
      <c r="BT144" s="3">
        <v>5</v>
      </c>
      <c r="BU144" s="3">
        <v>5</v>
      </c>
      <c r="BV144" s="3">
        <v>5</v>
      </c>
      <c r="BW144" s="3">
        <v>5</v>
      </c>
      <c r="BX144" s="3">
        <v>5</v>
      </c>
      <c r="BY144" s="3">
        <v>5</v>
      </c>
      <c r="BZ144" s="3">
        <v>5</v>
      </c>
      <c r="CA144" s="3">
        <v>4</v>
      </c>
      <c r="CB144" s="3">
        <v>5</v>
      </c>
      <c r="CC144" s="3">
        <v>5</v>
      </c>
      <c r="CD144" s="3">
        <v>5</v>
      </c>
      <c r="CF144" s="3">
        <f>COUNTIF(AG144:BB144, "Dispone")</f>
        <v>21</v>
      </c>
      <c r="CG144" s="3">
        <v>41</v>
      </c>
      <c r="CH144" s="3">
        <f>SUM(BM144:CD144)</f>
        <v>84</v>
      </c>
      <c r="CI144" s="6">
        <f>COUNTIF(AG144:BB144, "Dispone")/22</f>
        <v>0.95454545454545459</v>
      </c>
      <c r="CJ144" s="7">
        <f>AVERAGE(BC144:BL144)</f>
        <v>4.0999999999999996</v>
      </c>
      <c r="CK144" s="8">
        <f>AVERAGE(BM144:CD144)</f>
        <v>4.666666666666667</v>
      </c>
      <c r="CL144" s="9" t="str">
        <f>IF(AND(CI144&gt;50%, CJ144&gt;2.5, CK144&gt;2.5), "Compromiso", "")</f>
        <v>Compromiso</v>
      </c>
      <c r="CM144" s="9" t="str">
        <f>IF(AND(CI144&gt;75%, CJ144&gt;4, CK144&gt;4), "Liderazgo", "")</f>
        <v>Liderazgo</v>
      </c>
      <c r="CN144" s="9" t="str">
        <f>IF(AND(CI144&gt;90%, CJ144&gt;4.5, CK144&gt;4.5), "Transformación", "")</f>
        <v/>
      </c>
      <c r="CO144" s="9" t="s">
        <v>103</v>
      </c>
      <c r="CP144" s="9" t="s">
        <v>146</v>
      </c>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c r="DY144" s="18"/>
      <c r="DZ144" s="18"/>
      <c r="EA144" s="18"/>
      <c r="EB144" s="18"/>
      <c r="EC144" s="18"/>
      <c r="ED144" s="18"/>
      <c r="EE144" s="18"/>
      <c r="EF144" s="18"/>
      <c r="EG144" s="18"/>
      <c r="EH144" s="18"/>
      <c r="EI144" s="18"/>
      <c r="EJ144" s="18"/>
      <c r="EK144" s="18"/>
      <c r="EL144" s="18"/>
      <c r="EM144" s="18"/>
      <c r="EN144" s="18"/>
      <c r="EO144" s="18"/>
      <c r="EP144" s="18"/>
      <c r="EQ144" s="18"/>
      <c r="ER144" s="18"/>
      <c r="ES144" s="18"/>
      <c r="ET144" s="18"/>
      <c r="EU144" s="18"/>
      <c r="EV144" s="18"/>
      <c r="EW144" s="18"/>
      <c r="EX144" s="18"/>
      <c r="EY144" s="18"/>
    </row>
    <row r="145" spans="1:155" ht="20.25" customHeight="1" x14ac:dyDescent="0.25">
      <c r="C145" s="3" t="s">
        <v>871</v>
      </c>
      <c r="L145" s="3" t="s">
        <v>582</v>
      </c>
      <c r="M145" s="3" t="s">
        <v>583</v>
      </c>
      <c r="N145" s="3" t="s">
        <v>579</v>
      </c>
      <c r="O145" s="3" t="s">
        <v>999</v>
      </c>
      <c r="P145" s="3" t="s">
        <v>584</v>
      </c>
      <c r="Q145" s="3" t="s">
        <v>90</v>
      </c>
      <c r="R145" s="3">
        <v>2018</v>
      </c>
      <c r="S145" s="3">
        <v>458</v>
      </c>
      <c r="T145" s="3">
        <v>2251</v>
      </c>
      <c r="U145" s="3">
        <v>0</v>
      </c>
      <c r="V145" s="3">
        <v>0</v>
      </c>
      <c r="W145" s="3" t="s">
        <v>118</v>
      </c>
      <c r="X145" s="3">
        <v>0</v>
      </c>
      <c r="Y145" s="3" t="s">
        <v>92</v>
      </c>
      <c r="Z145" s="3">
        <v>13</v>
      </c>
      <c r="AA145" s="3">
        <v>876922</v>
      </c>
      <c r="AB145" s="3">
        <v>0</v>
      </c>
      <c r="AC145" s="3">
        <v>0</v>
      </c>
      <c r="AD145" s="3">
        <v>146</v>
      </c>
      <c r="AE145" s="3">
        <v>1</v>
      </c>
      <c r="AF145" s="3">
        <v>0</v>
      </c>
      <c r="AG145" s="3" t="s">
        <v>94</v>
      </c>
      <c r="AH145" s="3" t="s">
        <v>93</v>
      </c>
      <c r="AI145" s="3" t="s">
        <v>94</v>
      </c>
      <c r="AJ145" s="3" t="s">
        <v>93</v>
      </c>
      <c r="AK145" s="3" t="s">
        <v>93</v>
      </c>
      <c r="AL145" s="3" t="s">
        <v>93</v>
      </c>
      <c r="AM145" s="3" t="s">
        <v>93</v>
      </c>
      <c r="AN145" s="3" t="s">
        <v>94</v>
      </c>
      <c r="AO145" s="3" t="s">
        <v>93</v>
      </c>
      <c r="AP145" s="3" t="s">
        <v>94</v>
      </c>
      <c r="AQ145" s="3" t="s">
        <v>94</v>
      </c>
      <c r="AR145" s="3" t="s">
        <v>93</v>
      </c>
      <c r="AS145" s="3" t="s">
        <v>93</v>
      </c>
      <c r="AT145" s="3" t="s">
        <v>93</v>
      </c>
      <c r="AU145" s="3" t="s">
        <v>93</v>
      </c>
      <c r="AV145" s="3" t="s">
        <v>94</v>
      </c>
      <c r="AW145" s="3" t="s">
        <v>94</v>
      </c>
      <c r="AX145" s="3" t="s">
        <v>94</v>
      </c>
      <c r="AY145" s="3" t="s">
        <v>94</v>
      </c>
      <c r="AZ145" s="3" t="s">
        <v>93</v>
      </c>
      <c r="BA145" s="3" t="s">
        <v>93</v>
      </c>
      <c r="BB145" s="3" t="s">
        <v>93</v>
      </c>
      <c r="BC145" s="3">
        <v>1</v>
      </c>
      <c r="BD145" s="3">
        <v>2</v>
      </c>
      <c r="BE145" s="3">
        <v>1</v>
      </c>
      <c r="BF145" s="3">
        <v>2</v>
      </c>
      <c r="BG145" s="3">
        <v>3</v>
      </c>
      <c r="BH145" s="3">
        <v>1</v>
      </c>
      <c r="BI145" s="3">
        <v>1</v>
      </c>
      <c r="BJ145" s="3">
        <v>2</v>
      </c>
      <c r="BK145" s="3">
        <v>2</v>
      </c>
      <c r="BL145" s="3">
        <v>1</v>
      </c>
      <c r="BM145" s="3">
        <v>5</v>
      </c>
      <c r="BN145" s="3">
        <v>3</v>
      </c>
      <c r="BO145" s="3">
        <v>2</v>
      </c>
      <c r="BP145" s="3">
        <v>3</v>
      </c>
      <c r="BQ145" s="3">
        <v>3</v>
      </c>
      <c r="BR145" s="3">
        <v>2</v>
      </c>
      <c r="BS145" s="3">
        <v>2</v>
      </c>
      <c r="BT145" s="3">
        <v>2</v>
      </c>
      <c r="BU145" s="3">
        <v>5</v>
      </c>
      <c r="BV145" s="3">
        <v>2</v>
      </c>
      <c r="BW145" s="3">
        <v>2</v>
      </c>
      <c r="BX145" s="3">
        <v>1</v>
      </c>
      <c r="BY145" s="3">
        <v>5</v>
      </c>
      <c r="BZ145" s="3">
        <v>4</v>
      </c>
      <c r="CA145" s="3">
        <v>5</v>
      </c>
      <c r="CB145" s="3">
        <v>5</v>
      </c>
      <c r="CC145" s="3">
        <v>4</v>
      </c>
      <c r="CD145" s="3">
        <v>2</v>
      </c>
      <c r="CF145" s="3">
        <v>13</v>
      </c>
      <c r="CG145" s="3">
        <v>16</v>
      </c>
      <c r="CH145" s="3">
        <v>57</v>
      </c>
      <c r="CI145" s="6">
        <f>COUNTIF(AG145:BB145, "Dispone")/22</f>
        <v>0.59090909090909094</v>
      </c>
      <c r="CJ145" s="7">
        <f>AVERAGE(BC145:BL145)</f>
        <v>1.6</v>
      </c>
      <c r="CK145" s="8">
        <f>AVERAGE(BM145:CD145)</f>
        <v>3.1666666666666665</v>
      </c>
      <c r="CL145" s="9" t="str">
        <f>IF(AND(CI145&gt;50%, CJ145&gt;2.5, CK145&gt;2.5), "Compromiso", "")</f>
        <v/>
      </c>
      <c r="CM145" s="9" t="str">
        <f>IF(AND(CI145&gt;75%, CJ145&gt;4, CK145&gt;4), "Liderazgo", "")</f>
        <v/>
      </c>
      <c r="CN145" s="9" t="str">
        <f>IF(AND(CI145&gt;90%, CJ145&gt;4.5, CK145&gt;4.5), "Transformación", "")</f>
        <v/>
      </c>
      <c r="CO145" s="9" t="s">
        <v>581</v>
      </c>
      <c r="CP145" s="3" t="s">
        <v>95</v>
      </c>
    </row>
    <row r="146" spans="1:155" ht="20.25" customHeight="1" x14ac:dyDescent="0.25">
      <c r="C146" s="3" t="s">
        <v>871</v>
      </c>
      <c r="L146" s="3" t="s">
        <v>645</v>
      </c>
      <c r="M146" s="3" t="s">
        <v>646</v>
      </c>
      <c r="N146" s="3" t="s">
        <v>647</v>
      </c>
      <c r="O146" s="3" t="s">
        <v>1000</v>
      </c>
      <c r="P146" s="3">
        <v>14997518945</v>
      </c>
      <c r="Q146" s="3" t="s">
        <v>90</v>
      </c>
      <c r="R146" s="3">
        <v>2006</v>
      </c>
      <c r="S146" s="3">
        <v>700</v>
      </c>
      <c r="T146" s="3">
        <v>1133</v>
      </c>
      <c r="U146" s="3">
        <v>0</v>
      </c>
      <c r="V146" s="3">
        <v>0</v>
      </c>
      <c r="W146" s="3" t="s">
        <v>118</v>
      </c>
      <c r="X146" s="3">
        <v>0</v>
      </c>
      <c r="Y146" s="3" t="s">
        <v>92</v>
      </c>
      <c r="Z146" s="3">
        <v>80</v>
      </c>
      <c r="AA146" s="3">
        <v>1931273</v>
      </c>
      <c r="AB146" s="3">
        <v>180</v>
      </c>
      <c r="AC146" s="3">
        <v>40</v>
      </c>
      <c r="AD146" s="3">
        <v>14916</v>
      </c>
      <c r="AE146" s="3">
        <v>31</v>
      </c>
      <c r="AF146" s="3">
        <v>0</v>
      </c>
      <c r="AG146" s="3" t="s">
        <v>94</v>
      </c>
      <c r="AH146" s="3" t="s">
        <v>93</v>
      </c>
      <c r="AI146" s="3" t="s">
        <v>94</v>
      </c>
      <c r="AJ146" s="3" t="s">
        <v>93</v>
      </c>
      <c r="AK146" s="3" t="s">
        <v>93</v>
      </c>
      <c r="AL146" s="3" t="s">
        <v>93</v>
      </c>
      <c r="AM146" s="3" t="s">
        <v>93</v>
      </c>
      <c r="AN146" s="3" t="s">
        <v>93</v>
      </c>
      <c r="AO146" s="3" t="s">
        <v>93</v>
      </c>
      <c r="AP146" s="3" t="s">
        <v>93</v>
      </c>
      <c r="AQ146" s="3" t="s">
        <v>93</v>
      </c>
      <c r="AR146" s="3" t="s">
        <v>93</v>
      </c>
      <c r="AS146" s="3" t="s">
        <v>93</v>
      </c>
      <c r="AT146" s="3" t="s">
        <v>93</v>
      </c>
      <c r="AU146" s="3" t="s">
        <v>93</v>
      </c>
      <c r="AV146" s="3" t="s">
        <v>93</v>
      </c>
      <c r="AW146" s="3" t="s">
        <v>93</v>
      </c>
      <c r="AX146" s="3" t="s">
        <v>94</v>
      </c>
      <c r="AY146" s="3" t="s">
        <v>93</v>
      </c>
      <c r="AZ146" s="3" t="s">
        <v>93</v>
      </c>
      <c r="BA146" s="3" t="s">
        <v>93</v>
      </c>
      <c r="BB146" s="3" t="s">
        <v>93</v>
      </c>
      <c r="BC146" s="3">
        <v>2</v>
      </c>
      <c r="BD146" s="3">
        <v>2</v>
      </c>
      <c r="BE146" s="3">
        <v>2</v>
      </c>
      <c r="BF146" s="3">
        <v>2</v>
      </c>
      <c r="BG146" s="3">
        <v>3</v>
      </c>
      <c r="BH146" s="3">
        <v>3</v>
      </c>
      <c r="BI146" s="3">
        <v>2</v>
      </c>
      <c r="BJ146" s="3">
        <v>3</v>
      </c>
      <c r="BK146" s="3">
        <v>1</v>
      </c>
      <c r="BL146" s="3">
        <v>1</v>
      </c>
      <c r="BM146" s="3">
        <v>3</v>
      </c>
      <c r="BN146" s="3">
        <v>3</v>
      </c>
      <c r="BO146" s="3">
        <v>3</v>
      </c>
      <c r="BP146" s="3">
        <v>3</v>
      </c>
      <c r="BQ146" s="3">
        <v>1</v>
      </c>
      <c r="BR146" s="3">
        <v>3</v>
      </c>
      <c r="BS146" s="3">
        <v>2</v>
      </c>
      <c r="BT146" s="3">
        <v>3</v>
      </c>
      <c r="BU146" s="3">
        <v>2</v>
      </c>
      <c r="BV146" s="3">
        <v>2</v>
      </c>
      <c r="BW146" s="3">
        <v>3</v>
      </c>
      <c r="BX146" s="3">
        <v>3</v>
      </c>
      <c r="BY146" s="3">
        <v>3</v>
      </c>
      <c r="BZ146" s="3">
        <v>3</v>
      </c>
      <c r="CA146" s="3">
        <v>3</v>
      </c>
      <c r="CB146" s="3">
        <v>3</v>
      </c>
      <c r="CC146" s="3">
        <v>3</v>
      </c>
      <c r="CD146" s="3">
        <v>2</v>
      </c>
      <c r="CF146" s="3">
        <v>19</v>
      </c>
      <c r="CG146" s="3">
        <v>21</v>
      </c>
      <c r="CH146" s="3">
        <v>48</v>
      </c>
      <c r="CI146" s="6">
        <f>COUNTIF(AG146:BB146, "Dispone")/22</f>
        <v>0.86363636363636365</v>
      </c>
      <c r="CJ146" s="7">
        <f>AVERAGE(BC146:BL146)</f>
        <v>2.1</v>
      </c>
      <c r="CK146" s="15">
        <f>AVERAGE(BM146:CD146)</f>
        <v>2.6666666666666665</v>
      </c>
      <c r="CL146" s="9" t="str">
        <f>IF(AND(CI146&gt;50%, CJ146&gt;2.5, CK146&gt;2.5), "Compromiso", "")</f>
        <v/>
      </c>
      <c r="CM146" s="9" t="str">
        <f>IF(AND(CI146&gt;75%, CJ146&gt;4, CK146&gt;4), "Liderazgo", "")</f>
        <v/>
      </c>
      <c r="CN146" s="9" t="str">
        <f>IF(AND(CI146&gt;90%, CJ146&gt;4.5, CK146&gt;4.5), "Transformación", "")</f>
        <v/>
      </c>
      <c r="CO146" s="9" t="s">
        <v>581</v>
      </c>
      <c r="CP146" s="3" t="s">
        <v>95</v>
      </c>
    </row>
    <row r="147" spans="1:155" ht="20.25" customHeight="1" x14ac:dyDescent="0.25">
      <c r="C147" s="3" t="s">
        <v>871</v>
      </c>
      <c r="L147" s="3" t="s">
        <v>688</v>
      </c>
      <c r="M147" s="3" t="s">
        <v>896</v>
      </c>
      <c r="N147" s="3" t="s">
        <v>689</v>
      </c>
      <c r="O147" s="3" t="s">
        <v>1001</v>
      </c>
      <c r="Q147" s="3" t="s">
        <v>90</v>
      </c>
      <c r="R147" s="3">
        <v>1946</v>
      </c>
      <c r="S147" s="3">
        <v>5.5640000000000001</v>
      </c>
      <c r="T147" s="3">
        <v>48.058</v>
      </c>
      <c r="U147" s="3">
        <v>1.6240000000000001</v>
      </c>
      <c r="V147" s="3">
        <v>0</v>
      </c>
      <c r="W147" s="3" t="s">
        <v>118</v>
      </c>
      <c r="X147" s="3">
        <v>0.21</v>
      </c>
      <c r="Y147" s="3" t="s">
        <v>92</v>
      </c>
      <c r="Z147" s="3">
        <v>63</v>
      </c>
      <c r="AA147" s="3">
        <v>14198891</v>
      </c>
      <c r="AB147" s="3">
        <v>30790</v>
      </c>
      <c r="AC147" s="3">
        <v>2</v>
      </c>
      <c r="AD147" s="3">
        <v>133055</v>
      </c>
      <c r="AE147" s="3">
        <v>10</v>
      </c>
      <c r="AF147" s="3">
        <v>0</v>
      </c>
      <c r="AG147" s="3" t="s">
        <v>94</v>
      </c>
      <c r="AH147" s="3" t="s">
        <v>93</v>
      </c>
      <c r="AI147" s="3" t="s">
        <v>94</v>
      </c>
      <c r="AJ147" s="3" t="s">
        <v>93</v>
      </c>
      <c r="AK147" s="3" t="s">
        <v>93</v>
      </c>
      <c r="AL147" s="3" t="s">
        <v>94</v>
      </c>
      <c r="AM147" s="3" t="s">
        <v>93</v>
      </c>
      <c r="AN147" s="3" t="s">
        <v>94</v>
      </c>
      <c r="AO147" s="3" t="s">
        <v>93</v>
      </c>
      <c r="AP147" s="3" t="s">
        <v>93</v>
      </c>
      <c r="AQ147" s="3" t="s">
        <v>94</v>
      </c>
      <c r="AR147" s="3" t="s">
        <v>93</v>
      </c>
      <c r="AS147" s="3" t="s">
        <v>93</v>
      </c>
      <c r="AT147" s="3" t="s">
        <v>93</v>
      </c>
      <c r="AU147" s="3" t="s">
        <v>94</v>
      </c>
      <c r="AV147" s="3" t="s">
        <v>93</v>
      </c>
      <c r="AW147" s="3" t="s">
        <v>93</v>
      </c>
      <c r="AX147" s="3" t="s">
        <v>94</v>
      </c>
      <c r="AY147" s="3" t="s">
        <v>94</v>
      </c>
      <c r="AZ147" s="3" t="s">
        <v>93</v>
      </c>
      <c r="BA147" s="3" t="s">
        <v>93</v>
      </c>
      <c r="BB147" s="3" t="s">
        <v>93</v>
      </c>
      <c r="BC147" s="3">
        <v>2</v>
      </c>
      <c r="BD147" s="3">
        <v>2</v>
      </c>
      <c r="BE147" s="3">
        <v>1</v>
      </c>
      <c r="BF147" s="3">
        <v>3</v>
      </c>
      <c r="BG147" s="3">
        <v>3</v>
      </c>
      <c r="BH147" s="3">
        <v>3</v>
      </c>
      <c r="BI147" s="3">
        <v>3</v>
      </c>
      <c r="BJ147" s="3">
        <v>3</v>
      </c>
      <c r="BK147" s="3">
        <v>1</v>
      </c>
      <c r="BL147" s="3">
        <v>2</v>
      </c>
      <c r="BM147" s="3">
        <v>3</v>
      </c>
      <c r="BN147" s="3">
        <v>3</v>
      </c>
      <c r="BO147" s="3">
        <v>2</v>
      </c>
      <c r="BP147" s="3">
        <v>1</v>
      </c>
      <c r="BQ147" s="3">
        <v>1</v>
      </c>
      <c r="BR147" s="3">
        <v>3</v>
      </c>
      <c r="BS147" s="3">
        <v>3</v>
      </c>
      <c r="BT147" s="3">
        <v>3</v>
      </c>
      <c r="BU147" s="3">
        <v>1</v>
      </c>
      <c r="BV147" s="3">
        <v>1</v>
      </c>
      <c r="BW147" s="3">
        <v>1</v>
      </c>
      <c r="BX147" s="3">
        <v>3</v>
      </c>
      <c r="BY147" s="3">
        <v>3</v>
      </c>
      <c r="BZ147" s="3">
        <v>3</v>
      </c>
      <c r="CA147" s="3">
        <v>3</v>
      </c>
      <c r="CB147" s="3">
        <v>3</v>
      </c>
      <c r="CC147" s="3">
        <v>3</v>
      </c>
      <c r="CD147" s="3">
        <v>2</v>
      </c>
      <c r="CF147" s="3">
        <v>14</v>
      </c>
      <c r="CG147" s="3">
        <v>23</v>
      </c>
      <c r="CH147" s="3">
        <v>42</v>
      </c>
      <c r="CI147" s="6">
        <f>COUNTIF(AG147:BB147, "Dispone")/22</f>
        <v>0.63636363636363635</v>
      </c>
      <c r="CJ147" s="7">
        <f>AVERAGE(BC147:BL147)</f>
        <v>2.2999999999999998</v>
      </c>
      <c r="CK147" s="15">
        <f>AVERAGE(BM147:CD147)</f>
        <v>2.3333333333333335</v>
      </c>
      <c r="CL147" s="9" t="str">
        <f>IF(AND(CI147&gt;50%, CJ147&gt;2.5, CK147&gt;2.5), "Compromiso", "")</f>
        <v/>
      </c>
      <c r="CM147" s="9" t="str">
        <f>IF(AND(CI147&gt;75%, CJ147&gt;4, CK147&gt;4), "Liderazgo", "")</f>
        <v/>
      </c>
      <c r="CN147" s="9" t="str">
        <f>IF(AND(CI147&gt;90%, CJ147&gt;4.5, CK147&gt;4.5), "Transformación", "")</f>
        <v/>
      </c>
      <c r="CO147" s="9" t="s">
        <v>581</v>
      </c>
      <c r="CP147" s="3" t="s">
        <v>95</v>
      </c>
    </row>
    <row r="148" spans="1:155" ht="20.25" customHeight="1" x14ac:dyDescent="0.25">
      <c r="C148" s="3" t="s">
        <v>871</v>
      </c>
      <c r="L148" s="3" t="s">
        <v>790</v>
      </c>
      <c r="M148" s="3" t="s">
        <v>107</v>
      </c>
      <c r="O148" s="3" t="s">
        <v>907</v>
      </c>
      <c r="Q148" s="3" t="s">
        <v>130</v>
      </c>
      <c r="AG148" s="3" t="s">
        <v>94</v>
      </c>
      <c r="AH148" s="3" t="s">
        <v>93</v>
      </c>
      <c r="AI148" s="5"/>
      <c r="AJ148" s="3" t="s">
        <v>93</v>
      </c>
      <c r="AK148" s="3" t="s">
        <v>93</v>
      </c>
      <c r="AL148" s="3" t="s">
        <v>93</v>
      </c>
      <c r="AM148" s="3" t="s">
        <v>93</v>
      </c>
      <c r="AN148" s="3" t="s">
        <v>93</v>
      </c>
      <c r="AO148" s="3" t="s">
        <v>93</v>
      </c>
      <c r="AP148" s="3" t="s">
        <v>93</v>
      </c>
      <c r="AQ148" s="3" t="s">
        <v>94</v>
      </c>
      <c r="AR148" s="3" t="s">
        <v>93</v>
      </c>
      <c r="AS148" s="3" t="s">
        <v>93</v>
      </c>
      <c r="AT148" s="3" t="s">
        <v>93</v>
      </c>
      <c r="AU148" s="3" t="s">
        <v>94</v>
      </c>
      <c r="AV148" s="3" t="s">
        <v>93</v>
      </c>
      <c r="AW148" s="3" t="s">
        <v>94</v>
      </c>
      <c r="AX148" s="3" t="s">
        <v>94</v>
      </c>
      <c r="AY148" s="3" t="s">
        <v>94</v>
      </c>
      <c r="AZ148" s="3" t="s">
        <v>93</v>
      </c>
      <c r="BA148" s="3" t="s">
        <v>93</v>
      </c>
      <c r="BB148" s="3" t="s">
        <v>93</v>
      </c>
      <c r="BC148" s="3">
        <v>2</v>
      </c>
      <c r="BD148" s="3">
        <v>2</v>
      </c>
      <c r="BE148" s="3">
        <v>2</v>
      </c>
      <c r="BF148" s="3">
        <v>2</v>
      </c>
      <c r="BG148" s="3">
        <v>2</v>
      </c>
      <c r="BH148" s="3">
        <v>2</v>
      </c>
      <c r="BI148" s="3">
        <v>1</v>
      </c>
      <c r="BJ148" s="3">
        <v>2</v>
      </c>
      <c r="BK148" s="3">
        <v>1</v>
      </c>
      <c r="BL148" s="3">
        <v>3</v>
      </c>
      <c r="BM148" s="3">
        <v>2</v>
      </c>
      <c r="BN148" s="3">
        <v>5</v>
      </c>
      <c r="BO148" s="3">
        <v>4</v>
      </c>
      <c r="BP148" s="3">
        <v>4</v>
      </c>
      <c r="BQ148" s="3">
        <v>2</v>
      </c>
      <c r="BR148" s="3">
        <v>3</v>
      </c>
      <c r="BS148" s="3">
        <v>3</v>
      </c>
      <c r="BT148" s="3">
        <v>1</v>
      </c>
      <c r="BU148" s="3">
        <v>4</v>
      </c>
      <c r="BV148" s="3">
        <v>4</v>
      </c>
      <c r="BW148" s="3">
        <v>5</v>
      </c>
      <c r="BX148" s="3">
        <v>5</v>
      </c>
      <c r="BY148" s="3">
        <v>5</v>
      </c>
      <c r="BZ148" s="3">
        <v>5</v>
      </c>
      <c r="CA148" s="3">
        <v>4</v>
      </c>
      <c r="CB148" s="3">
        <v>4</v>
      </c>
      <c r="CC148" s="3">
        <v>5</v>
      </c>
      <c r="CD148" s="3">
        <v>5</v>
      </c>
      <c r="CF148" s="3">
        <f>COUNTIF(AG148:BB148, "Dispone")</f>
        <v>15</v>
      </c>
      <c r="CG148" s="3">
        <v>19</v>
      </c>
      <c r="CH148" s="3">
        <f>SUM(BM148:CD148)</f>
        <v>70</v>
      </c>
      <c r="CI148" s="6">
        <f>COUNTIF(AG148:BB148, "Dispone")/22</f>
        <v>0.68181818181818177</v>
      </c>
      <c r="CJ148" s="7">
        <f>AVERAGE(BC148:BL148)</f>
        <v>1.9</v>
      </c>
      <c r="CK148" s="8">
        <f>AVERAGE(BM148:CD148)</f>
        <v>3.8888888888888888</v>
      </c>
      <c r="CL148" s="9" t="str">
        <f>IF(AND(CI148&gt;50%, CJ148&gt;2.5, CK148&gt;2.5), "Compromiso", "")</f>
        <v/>
      </c>
      <c r="CM148" s="9" t="str">
        <f>IF(AND(CI148&gt;75%, CJ148&gt;4, CK148&gt;4), "Liderazgo", "")</f>
        <v/>
      </c>
      <c r="CN148" s="9" t="str">
        <f>IF(AND(CI148&gt;90%, CJ148&gt;4.5, CK148&gt;4.5), "Transformación", "")</f>
        <v/>
      </c>
      <c r="CO148" s="9" t="s">
        <v>581</v>
      </c>
      <c r="CP148" s="3" t="s">
        <v>103</v>
      </c>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row>
    <row r="149" spans="1:155" ht="20.25" customHeight="1" x14ac:dyDescent="0.25">
      <c r="C149" s="3" t="s">
        <v>871</v>
      </c>
      <c r="L149" s="3" t="s">
        <v>852</v>
      </c>
      <c r="M149" s="3" t="s">
        <v>853</v>
      </c>
      <c r="N149" s="3" t="s">
        <v>854</v>
      </c>
      <c r="O149" s="3" t="s">
        <v>1002</v>
      </c>
      <c r="P149" s="3">
        <f>56981542813</f>
        <v>56981542813</v>
      </c>
      <c r="Q149" s="3" t="s">
        <v>124</v>
      </c>
      <c r="R149" s="3">
        <v>1993</v>
      </c>
      <c r="S149" s="3">
        <v>1.659</v>
      </c>
      <c r="T149" s="3">
        <v>8.4749999999999996</v>
      </c>
      <c r="U149" s="3">
        <v>0</v>
      </c>
      <c r="V149" s="3">
        <v>0</v>
      </c>
      <c r="W149" s="3" t="s">
        <v>118</v>
      </c>
      <c r="X149" s="3">
        <v>4</v>
      </c>
      <c r="Y149" s="3" t="s">
        <v>92</v>
      </c>
      <c r="Z149" s="3">
        <v>4</v>
      </c>
      <c r="AA149" s="3">
        <v>1939757</v>
      </c>
      <c r="AB149" s="3">
        <v>438</v>
      </c>
      <c r="AC149" s="3">
        <v>7</v>
      </c>
      <c r="AD149" s="3">
        <v>44228</v>
      </c>
      <c r="AE149" s="3">
        <v>14</v>
      </c>
      <c r="AF149" s="3">
        <v>156000</v>
      </c>
      <c r="AG149" s="3" t="s">
        <v>93</v>
      </c>
      <c r="AH149" s="3" t="s">
        <v>93</v>
      </c>
      <c r="AI149" s="3" t="s">
        <v>93</v>
      </c>
      <c r="AJ149" s="3" t="s">
        <v>93</v>
      </c>
      <c r="AK149" s="3" t="s">
        <v>93</v>
      </c>
      <c r="AL149" s="3" t="s">
        <v>93</v>
      </c>
      <c r="AM149" s="3" t="s">
        <v>93</v>
      </c>
      <c r="AN149" s="3" t="s">
        <v>93</v>
      </c>
      <c r="AO149" s="3" t="s">
        <v>93</v>
      </c>
      <c r="AP149" s="3" t="s">
        <v>93</v>
      </c>
      <c r="AQ149" s="3" t="s">
        <v>94</v>
      </c>
      <c r="AR149" s="3" t="s">
        <v>93</v>
      </c>
      <c r="AS149" s="3" t="s">
        <v>93</v>
      </c>
      <c r="AT149" s="3" t="s">
        <v>93</v>
      </c>
      <c r="AU149" s="3" t="s">
        <v>93</v>
      </c>
      <c r="AV149" s="3" t="s">
        <v>93</v>
      </c>
      <c r="AW149" s="3" t="s">
        <v>93</v>
      </c>
      <c r="AX149" s="3" t="s">
        <v>94</v>
      </c>
      <c r="AY149" s="3" t="s">
        <v>93</v>
      </c>
      <c r="AZ149" s="3" t="s">
        <v>93</v>
      </c>
      <c r="BA149" s="3" t="s">
        <v>93</v>
      </c>
      <c r="BB149" s="3" t="s">
        <v>93</v>
      </c>
      <c r="BC149" s="3">
        <v>5</v>
      </c>
      <c r="BD149" s="3">
        <v>5</v>
      </c>
      <c r="BE149" s="3">
        <v>5</v>
      </c>
      <c r="BF149" s="3">
        <v>5</v>
      </c>
      <c r="BG149" s="3">
        <v>4</v>
      </c>
      <c r="BH149" s="3">
        <v>5</v>
      </c>
      <c r="BI149" s="3">
        <v>4</v>
      </c>
      <c r="BJ149" s="3">
        <v>5</v>
      </c>
      <c r="BK149" s="3">
        <v>4</v>
      </c>
      <c r="BL149" s="3">
        <v>5</v>
      </c>
      <c r="BM149" s="3">
        <v>5</v>
      </c>
      <c r="BN149" s="3">
        <v>5</v>
      </c>
      <c r="BO149" s="3">
        <v>5</v>
      </c>
      <c r="BP149" s="3">
        <v>4</v>
      </c>
      <c r="BQ149" s="3">
        <v>5</v>
      </c>
      <c r="BR149" s="3">
        <v>5</v>
      </c>
      <c r="BS149" s="3">
        <v>5</v>
      </c>
      <c r="BT149" s="3">
        <v>5</v>
      </c>
      <c r="BU149" s="3">
        <v>5</v>
      </c>
      <c r="BV149" s="3">
        <v>5</v>
      </c>
      <c r="BW149" s="3">
        <v>4</v>
      </c>
      <c r="BX149" s="3">
        <v>4</v>
      </c>
      <c r="BY149" s="3">
        <v>5</v>
      </c>
      <c r="BZ149" s="3">
        <v>5</v>
      </c>
      <c r="CA149" s="3">
        <v>5</v>
      </c>
      <c r="CB149" s="3">
        <v>5</v>
      </c>
      <c r="CC149" s="3">
        <v>5</v>
      </c>
      <c r="CD149" s="3">
        <v>5</v>
      </c>
      <c r="CF149" s="3">
        <v>20</v>
      </c>
      <c r="CG149" s="3">
        <v>47</v>
      </c>
      <c r="CH149" s="3">
        <v>87</v>
      </c>
      <c r="CI149" s="6">
        <f>COUNTIF(AG149:BB149, "Dispone")/22</f>
        <v>0.90909090909090906</v>
      </c>
      <c r="CJ149" s="7">
        <f>AVERAGE(BC149:BL149)</f>
        <v>4.7</v>
      </c>
      <c r="CK149" s="15">
        <f>AVERAGE(BM149:CD149)</f>
        <v>4.833333333333333</v>
      </c>
      <c r="CL149" s="9" t="str">
        <f>IF(AND(CI149&gt;50%, CJ149&gt;2.5, CK149&gt;2.5), "Compromiso", "")</f>
        <v>Compromiso</v>
      </c>
      <c r="CM149" s="9" t="str">
        <f>IF(AND(CI149&gt;75%, CJ149&gt;4, CK149&gt;4), "Liderazgo", "")</f>
        <v>Liderazgo</v>
      </c>
      <c r="CN149" s="9" t="str">
        <f>IF(AND(CI149&gt;90%, CJ149&gt;4.5, CK149&gt;4.5), "Transformación", "")</f>
        <v>Transformación</v>
      </c>
      <c r="CO149" s="9" t="s">
        <v>132</v>
      </c>
      <c r="CP149" s="3" t="s">
        <v>146</v>
      </c>
    </row>
    <row r="150" spans="1:155" ht="20.25" customHeight="1" x14ac:dyDescent="0.25">
      <c r="C150" s="3" t="s">
        <v>871</v>
      </c>
      <c r="L150" s="3" t="s">
        <v>855</v>
      </c>
      <c r="M150" s="3" t="s">
        <v>856</v>
      </c>
      <c r="N150" s="3" t="s">
        <v>857</v>
      </c>
      <c r="O150" s="3" t="s">
        <v>1003</v>
      </c>
      <c r="P150" s="3" t="s">
        <v>858</v>
      </c>
      <c r="Q150" s="3" t="s">
        <v>130</v>
      </c>
      <c r="R150" s="3">
        <v>1495</v>
      </c>
      <c r="S150" s="3">
        <v>4.6280000000000001</v>
      </c>
      <c r="T150" s="3">
        <v>24.707000000000001</v>
      </c>
      <c r="U150" s="3">
        <v>26</v>
      </c>
      <c r="V150" s="3">
        <v>27</v>
      </c>
      <c r="W150" s="3" t="s">
        <v>118</v>
      </c>
      <c r="X150" s="3">
        <v>11.89</v>
      </c>
      <c r="Y150" s="3" t="s">
        <v>92</v>
      </c>
      <c r="Z150" s="3">
        <v>60</v>
      </c>
      <c r="AA150" s="3">
        <v>20998175</v>
      </c>
      <c r="AB150" s="3">
        <v>18608</v>
      </c>
      <c r="AC150" s="3">
        <v>0</v>
      </c>
      <c r="AD150" s="3">
        <v>124786</v>
      </c>
      <c r="AE150" s="3">
        <v>62</v>
      </c>
      <c r="AF150" s="3">
        <v>37160</v>
      </c>
      <c r="AG150" s="3" t="s">
        <v>93</v>
      </c>
      <c r="AH150" s="3" t="s">
        <v>93</v>
      </c>
      <c r="AI150" s="3" t="s">
        <v>93</v>
      </c>
      <c r="AJ150" s="3" t="s">
        <v>93</v>
      </c>
      <c r="AK150" s="3" t="s">
        <v>93</v>
      </c>
      <c r="AL150" s="3" t="s">
        <v>93</v>
      </c>
      <c r="AM150" s="3" t="s">
        <v>93</v>
      </c>
      <c r="AN150" s="3" t="s">
        <v>93</v>
      </c>
      <c r="AO150" s="3" t="s">
        <v>93</v>
      </c>
      <c r="AP150" s="3" t="s">
        <v>93</v>
      </c>
      <c r="AQ150" s="3" t="s">
        <v>93</v>
      </c>
      <c r="AR150" s="3" t="s">
        <v>93</v>
      </c>
      <c r="AS150" s="3" t="s">
        <v>93</v>
      </c>
      <c r="AT150" s="3" t="s">
        <v>93</v>
      </c>
      <c r="AU150" s="3" t="s">
        <v>93</v>
      </c>
      <c r="AV150" s="3" t="s">
        <v>93</v>
      </c>
      <c r="AW150" s="3" t="s">
        <v>93</v>
      </c>
      <c r="AX150" s="3" t="s">
        <v>94</v>
      </c>
      <c r="AY150" s="3" t="s">
        <v>93</v>
      </c>
      <c r="AZ150" s="3" t="s">
        <v>93</v>
      </c>
      <c r="BA150" s="3" t="s">
        <v>93</v>
      </c>
      <c r="BB150" s="3" t="s">
        <v>93</v>
      </c>
      <c r="BC150" s="3">
        <v>5</v>
      </c>
      <c r="BD150" s="3">
        <v>5</v>
      </c>
      <c r="BE150" s="3">
        <v>5</v>
      </c>
      <c r="BF150" s="3">
        <v>5</v>
      </c>
      <c r="BG150" s="3">
        <v>5</v>
      </c>
      <c r="BH150" s="3">
        <v>5</v>
      </c>
      <c r="BI150" s="3">
        <v>5</v>
      </c>
      <c r="BJ150" s="3">
        <v>5</v>
      </c>
      <c r="BK150" s="3">
        <v>5</v>
      </c>
      <c r="BL150" s="3">
        <v>5</v>
      </c>
      <c r="BM150" s="3">
        <v>5</v>
      </c>
      <c r="BN150" s="3">
        <v>5</v>
      </c>
      <c r="BO150" s="3">
        <v>5</v>
      </c>
      <c r="BP150" s="3">
        <v>5</v>
      </c>
      <c r="BQ150" s="3">
        <v>5</v>
      </c>
      <c r="BR150" s="3">
        <v>5</v>
      </c>
      <c r="BS150" s="3">
        <v>5</v>
      </c>
      <c r="BT150" s="3">
        <v>5</v>
      </c>
      <c r="BU150" s="3">
        <v>5</v>
      </c>
      <c r="BV150" s="3">
        <v>4</v>
      </c>
      <c r="BW150" s="3">
        <v>3</v>
      </c>
      <c r="BX150" s="3">
        <v>5</v>
      </c>
      <c r="BY150" s="3">
        <v>3</v>
      </c>
      <c r="BZ150" s="3">
        <v>5</v>
      </c>
      <c r="CA150" s="3">
        <v>5</v>
      </c>
      <c r="CB150" s="3">
        <v>5</v>
      </c>
      <c r="CC150" s="3">
        <v>5</v>
      </c>
      <c r="CD150" s="3">
        <v>5</v>
      </c>
      <c r="CF150" s="3">
        <v>21</v>
      </c>
      <c r="CG150" s="3">
        <v>50</v>
      </c>
      <c r="CH150" s="3">
        <v>85</v>
      </c>
      <c r="CI150" s="6">
        <f>COUNTIF(AG150:BB150, "Dispone")/22</f>
        <v>0.95454545454545459</v>
      </c>
      <c r="CJ150" s="7">
        <f>AVERAGE(BC150:BL150)</f>
        <v>5</v>
      </c>
      <c r="CK150" s="15">
        <f>AVERAGE(BM150:CD150)</f>
        <v>4.7222222222222223</v>
      </c>
      <c r="CL150" s="9" t="str">
        <f>IF(AND(CI150&gt;50%, CJ150&gt;2.5, CK150&gt;2.5), "Compromiso", "")</f>
        <v>Compromiso</v>
      </c>
      <c r="CM150" s="9" t="str">
        <f>IF(AND(CI150&gt;75%, CJ150&gt;4, CK150&gt;4), "Liderazgo", "")</f>
        <v>Liderazgo</v>
      </c>
      <c r="CN150" s="9" t="str">
        <f>IF(AND(CI150&gt;90%, CJ150&gt;4.5, CK150&gt;4.5), "Transformación", "")</f>
        <v>Transformación</v>
      </c>
      <c r="CO150" s="9" t="s">
        <v>132</v>
      </c>
      <c r="CP150" s="3" t="s">
        <v>132</v>
      </c>
    </row>
    <row r="151" spans="1:155" ht="20.25" customHeight="1" x14ac:dyDescent="0.25">
      <c r="C151" s="3" t="s">
        <v>871</v>
      </c>
      <c r="L151" s="3" t="s">
        <v>859</v>
      </c>
      <c r="M151" s="3" t="s">
        <v>897</v>
      </c>
      <c r="N151" s="3" t="s">
        <v>860</v>
      </c>
      <c r="O151" s="3" t="s">
        <v>1004</v>
      </c>
      <c r="P151" s="3" t="s">
        <v>861</v>
      </c>
      <c r="Q151" s="3" t="s">
        <v>90</v>
      </c>
      <c r="R151" s="3">
        <v>1962</v>
      </c>
      <c r="S151" s="3">
        <v>3355</v>
      </c>
      <c r="T151" s="3">
        <v>22708</v>
      </c>
      <c r="U151" s="3">
        <v>16113</v>
      </c>
      <c r="V151" s="3">
        <v>55</v>
      </c>
      <c r="W151" s="3" t="s">
        <v>118</v>
      </c>
      <c r="X151" s="3">
        <v>0.82</v>
      </c>
      <c r="Y151" s="3" t="s">
        <v>92</v>
      </c>
      <c r="Z151" s="3">
        <v>266</v>
      </c>
      <c r="AA151" s="3">
        <v>9363508</v>
      </c>
      <c r="AB151" s="3">
        <v>9166</v>
      </c>
      <c r="AC151" s="3">
        <v>50</v>
      </c>
      <c r="AD151" s="3">
        <v>155515</v>
      </c>
      <c r="AE151" s="3">
        <v>22</v>
      </c>
      <c r="AF151" s="3">
        <v>51474679</v>
      </c>
      <c r="AG151" s="3" t="s">
        <v>93</v>
      </c>
      <c r="AH151" s="3" t="s">
        <v>93</v>
      </c>
      <c r="AI151" s="3" t="s">
        <v>93</v>
      </c>
      <c r="AJ151" s="3" t="s">
        <v>93</v>
      </c>
      <c r="AK151" s="3" t="s">
        <v>93</v>
      </c>
      <c r="AL151" s="3" t="s">
        <v>93</v>
      </c>
      <c r="AM151" s="3" t="s">
        <v>93</v>
      </c>
      <c r="AN151" s="3" t="s">
        <v>93</v>
      </c>
      <c r="AO151" s="3" t="s">
        <v>93</v>
      </c>
      <c r="AP151" s="3" t="s">
        <v>93</v>
      </c>
      <c r="AQ151" s="3" t="s">
        <v>93</v>
      </c>
      <c r="AR151" s="3" t="s">
        <v>93</v>
      </c>
      <c r="AS151" s="3" t="s">
        <v>93</v>
      </c>
      <c r="AT151" s="3" t="s">
        <v>93</v>
      </c>
      <c r="AU151" s="3" t="s">
        <v>93</v>
      </c>
      <c r="AV151" s="3" t="s">
        <v>93</v>
      </c>
      <c r="AW151" s="3" t="s">
        <v>93</v>
      </c>
      <c r="AX151" s="3" t="s">
        <v>93</v>
      </c>
      <c r="AY151" s="3" t="s">
        <v>93</v>
      </c>
      <c r="AZ151" s="3" t="s">
        <v>93</v>
      </c>
      <c r="BA151" s="3" t="s">
        <v>93</v>
      </c>
      <c r="BB151" s="3" t="s">
        <v>93</v>
      </c>
      <c r="BC151" s="3">
        <v>5</v>
      </c>
      <c r="BD151" s="3">
        <v>5</v>
      </c>
      <c r="BE151" s="3">
        <v>5</v>
      </c>
      <c r="BF151" s="3">
        <v>3</v>
      </c>
      <c r="BG151" s="3">
        <v>5</v>
      </c>
      <c r="BH151" s="3">
        <v>5</v>
      </c>
      <c r="BI151" s="3">
        <v>5</v>
      </c>
      <c r="BJ151" s="3">
        <v>5</v>
      </c>
      <c r="BK151" s="3">
        <v>3</v>
      </c>
      <c r="BL151" s="3">
        <v>5</v>
      </c>
      <c r="BM151" s="3">
        <v>5</v>
      </c>
      <c r="BN151" s="3">
        <v>5</v>
      </c>
      <c r="BO151" s="3">
        <v>5</v>
      </c>
      <c r="BP151" s="3">
        <v>5</v>
      </c>
      <c r="BQ151" s="3">
        <v>5</v>
      </c>
      <c r="BR151" s="3">
        <v>5</v>
      </c>
      <c r="BS151" s="3">
        <v>5</v>
      </c>
      <c r="BT151" s="3">
        <v>5</v>
      </c>
      <c r="BU151" s="3">
        <v>3</v>
      </c>
      <c r="BV151" s="3">
        <v>5</v>
      </c>
      <c r="BW151" s="3">
        <v>5</v>
      </c>
      <c r="BX151" s="3">
        <v>5</v>
      </c>
      <c r="BY151" s="3">
        <v>5</v>
      </c>
      <c r="BZ151" s="3">
        <v>5</v>
      </c>
      <c r="CA151" s="3">
        <v>5</v>
      </c>
      <c r="CB151" s="3">
        <v>5</v>
      </c>
      <c r="CC151" s="3">
        <v>5</v>
      </c>
      <c r="CD151" s="3">
        <v>3</v>
      </c>
      <c r="CF151" s="3">
        <v>22</v>
      </c>
      <c r="CG151" s="3">
        <v>46</v>
      </c>
      <c r="CH151" s="3">
        <v>86</v>
      </c>
      <c r="CI151" s="6">
        <f>COUNTIF(AG151:BB151, "Dispone")/22</f>
        <v>1</v>
      </c>
      <c r="CJ151" s="7">
        <f>AVERAGE(BC151:BL151)</f>
        <v>4.5999999999999996</v>
      </c>
      <c r="CK151" s="15">
        <f>AVERAGE(BM151:CD151)</f>
        <v>4.7777777777777777</v>
      </c>
      <c r="CL151" s="9" t="str">
        <f>IF(AND(CI151&gt;50%, CJ151&gt;2.5, CK151&gt;2.5), "Compromiso", "")</f>
        <v>Compromiso</v>
      </c>
      <c r="CM151" s="9" t="str">
        <f>IF(AND(CI151&gt;75%, CJ151&gt;4, CK151&gt;4), "Liderazgo", "")</f>
        <v>Liderazgo</v>
      </c>
      <c r="CN151" s="9" t="str">
        <f>IF(AND(CI151&gt;90%, CJ151&gt;4.5, CK151&gt;4.5), "Transformación", "")</f>
        <v>Transformación</v>
      </c>
      <c r="CO151" s="9" t="s">
        <v>132</v>
      </c>
      <c r="CP151" s="3" t="s">
        <v>95</v>
      </c>
    </row>
    <row r="152" spans="1:155" ht="20.25" customHeight="1" x14ac:dyDescent="0.25">
      <c r="A152" s="19"/>
      <c r="B152" s="19"/>
      <c r="C152" s="3" t="s">
        <v>871</v>
      </c>
      <c r="D152" s="19"/>
      <c r="E152" s="19"/>
      <c r="F152" s="19"/>
      <c r="G152" s="19"/>
      <c r="H152" s="19"/>
      <c r="I152" s="19"/>
      <c r="J152" s="19"/>
      <c r="K152" s="19"/>
      <c r="L152" s="20" t="s">
        <v>862</v>
      </c>
      <c r="M152" s="3" t="s">
        <v>863</v>
      </c>
      <c r="N152" s="20" t="s">
        <v>864</v>
      </c>
      <c r="O152" s="3" t="s">
        <v>865</v>
      </c>
      <c r="P152" s="20">
        <v>938861222</v>
      </c>
      <c r="Q152" s="20" t="s">
        <v>130</v>
      </c>
      <c r="R152" s="20">
        <v>1997</v>
      </c>
      <c r="S152" s="20">
        <v>1468</v>
      </c>
      <c r="T152" s="20">
        <v>8233</v>
      </c>
      <c r="U152" s="20">
        <v>0</v>
      </c>
      <c r="V152" s="20">
        <v>369</v>
      </c>
      <c r="W152" s="20" t="s">
        <v>173</v>
      </c>
      <c r="X152" s="20">
        <v>15</v>
      </c>
      <c r="Y152" s="20" t="s">
        <v>92</v>
      </c>
      <c r="Z152" s="20">
        <v>19</v>
      </c>
      <c r="AA152" s="20">
        <v>1862050</v>
      </c>
      <c r="AB152" s="20">
        <v>489</v>
      </c>
      <c r="AC152" s="20">
        <v>80</v>
      </c>
      <c r="AD152" s="20">
        <v>8581</v>
      </c>
      <c r="AE152" s="20">
        <v>5</v>
      </c>
      <c r="AF152" s="20">
        <v>5426511</v>
      </c>
      <c r="AG152" s="20" t="s">
        <v>93</v>
      </c>
      <c r="AH152" s="20" t="s">
        <v>93</v>
      </c>
      <c r="AI152" s="20" t="s">
        <v>93</v>
      </c>
      <c r="AJ152" s="20" t="s">
        <v>93</v>
      </c>
      <c r="AK152" s="20" t="s">
        <v>93</v>
      </c>
      <c r="AL152" s="20" t="s">
        <v>93</v>
      </c>
      <c r="AM152" s="20" t="s">
        <v>93</v>
      </c>
      <c r="AN152" s="20" t="s">
        <v>93</v>
      </c>
      <c r="AO152" s="20" t="s">
        <v>93</v>
      </c>
      <c r="AP152" s="20" t="s">
        <v>93</v>
      </c>
      <c r="AQ152" s="20" t="s">
        <v>93</v>
      </c>
      <c r="AR152" s="20" t="s">
        <v>93</v>
      </c>
      <c r="AS152" s="20" t="s">
        <v>93</v>
      </c>
      <c r="AT152" s="20" t="s">
        <v>93</v>
      </c>
      <c r="AU152" s="20" t="s">
        <v>93</v>
      </c>
      <c r="AV152" s="20" t="s">
        <v>93</v>
      </c>
      <c r="AW152" s="20" t="s">
        <v>93</v>
      </c>
      <c r="AX152" s="20" t="s">
        <v>94</v>
      </c>
      <c r="AY152" s="20" t="s">
        <v>93</v>
      </c>
      <c r="AZ152" s="20" t="s">
        <v>94</v>
      </c>
      <c r="BA152" s="20" t="s">
        <v>93</v>
      </c>
      <c r="BB152" s="20" t="s">
        <v>93</v>
      </c>
      <c r="BC152" s="20">
        <v>5</v>
      </c>
      <c r="BD152" s="20">
        <v>5</v>
      </c>
      <c r="BE152" s="20">
        <v>5</v>
      </c>
      <c r="BF152" s="20">
        <v>5</v>
      </c>
      <c r="BG152" s="20">
        <v>5</v>
      </c>
      <c r="BH152" s="20">
        <v>5</v>
      </c>
      <c r="BI152" s="20">
        <v>5</v>
      </c>
      <c r="BJ152" s="20">
        <v>5</v>
      </c>
      <c r="BK152" s="20">
        <v>4</v>
      </c>
      <c r="BL152" s="20">
        <v>5</v>
      </c>
      <c r="BM152" s="20">
        <v>4</v>
      </c>
      <c r="BN152" s="20">
        <v>4</v>
      </c>
      <c r="BO152" s="20">
        <v>5</v>
      </c>
      <c r="BP152" s="20">
        <v>5</v>
      </c>
      <c r="BQ152" s="20">
        <v>5</v>
      </c>
      <c r="BR152" s="20">
        <v>5</v>
      </c>
      <c r="BS152" s="20">
        <v>5</v>
      </c>
      <c r="BT152" s="20">
        <v>4</v>
      </c>
      <c r="BU152" s="20">
        <v>5</v>
      </c>
      <c r="BV152" s="20">
        <v>4</v>
      </c>
      <c r="BW152" s="20">
        <v>4</v>
      </c>
      <c r="BX152" s="20">
        <v>4</v>
      </c>
      <c r="BY152" s="20">
        <v>5</v>
      </c>
      <c r="BZ152" s="20">
        <v>5</v>
      </c>
      <c r="CA152" s="20">
        <v>5</v>
      </c>
      <c r="CB152" s="20">
        <v>5</v>
      </c>
      <c r="CC152" s="20">
        <v>5</v>
      </c>
      <c r="CD152" s="20">
        <v>5</v>
      </c>
      <c r="CE152" s="20" t="s">
        <v>866</v>
      </c>
      <c r="CF152" s="20">
        <v>20</v>
      </c>
      <c r="CG152" s="20">
        <v>49</v>
      </c>
      <c r="CH152" s="20">
        <v>84</v>
      </c>
      <c r="CI152" s="21">
        <f>COUNTIF(AG152:BB152, "Dispone")/22</f>
        <v>0.90909090909090906</v>
      </c>
      <c r="CJ152" s="22">
        <f>AVERAGE(BC152:BL152)</f>
        <v>4.9000000000000004</v>
      </c>
      <c r="CK152" s="23">
        <f>AVERAGE(BM152:CD152)</f>
        <v>4.666666666666667</v>
      </c>
      <c r="CL152" s="24" t="str">
        <f>IF(AND(CI152&gt;50%, CJ152&gt;2.5, CK152&gt;2.5), "Compromiso", "")</f>
        <v>Compromiso</v>
      </c>
      <c r="CM152" s="24" t="str">
        <f>IF(AND(CI152&gt;75%, CJ152&gt;4, CK152&gt;4), "Liderazgo", "")</f>
        <v>Liderazgo</v>
      </c>
      <c r="CN152" s="24" t="str">
        <f>IF(AND(CI152&gt;90%, CJ152&gt;4.5, CK152&gt;4.5), "Transformación", "")</f>
        <v>Transformación</v>
      </c>
      <c r="CO152" s="24" t="s">
        <v>132</v>
      </c>
      <c r="CP152" s="20" t="s">
        <v>95</v>
      </c>
    </row>
    <row r="153" spans="1:155" ht="20.25" customHeight="1" x14ac:dyDescent="0.25">
      <c r="C153" s="3" t="s">
        <v>871</v>
      </c>
      <c r="L153" s="3" t="s">
        <v>867</v>
      </c>
      <c r="M153" s="3" t="s">
        <v>868</v>
      </c>
      <c r="N153" s="3" t="s">
        <v>869</v>
      </c>
      <c r="O153" s="3" t="s">
        <v>1005</v>
      </c>
      <c r="P153" s="3">
        <v>963877038</v>
      </c>
      <c r="Q153" s="3" t="s">
        <v>130</v>
      </c>
      <c r="R153" s="3">
        <v>1971</v>
      </c>
      <c r="S153" s="3">
        <v>6126</v>
      </c>
      <c r="T153" s="3">
        <v>46462</v>
      </c>
      <c r="U153" s="3">
        <v>0</v>
      </c>
      <c r="V153" s="3">
        <v>0</v>
      </c>
      <c r="W153" s="3" t="s">
        <v>118</v>
      </c>
      <c r="X153" s="3">
        <v>28</v>
      </c>
      <c r="Y153" s="3" t="s">
        <v>153</v>
      </c>
      <c r="Z153" s="3">
        <v>99</v>
      </c>
      <c r="AA153" s="3">
        <v>4769085</v>
      </c>
      <c r="AB153" s="3">
        <v>3256</v>
      </c>
      <c r="AC153" s="3">
        <v>58</v>
      </c>
      <c r="AD153" s="3">
        <v>300347</v>
      </c>
      <c r="AE153" s="3">
        <v>25</v>
      </c>
      <c r="AF153" s="17">
        <v>646000000</v>
      </c>
      <c r="AG153" s="3" t="s">
        <v>93</v>
      </c>
      <c r="AH153" s="3" t="s">
        <v>93</v>
      </c>
      <c r="AI153" s="3" t="s">
        <v>93</v>
      </c>
      <c r="AJ153" s="3" t="s">
        <v>93</v>
      </c>
      <c r="AK153" s="3" t="s">
        <v>93</v>
      </c>
      <c r="AL153" s="3" t="s">
        <v>93</v>
      </c>
      <c r="AM153" s="3" t="s">
        <v>93</v>
      </c>
      <c r="AN153" s="3" t="s">
        <v>93</v>
      </c>
      <c r="AO153" s="3" t="s">
        <v>93</v>
      </c>
      <c r="AP153" s="3" t="s">
        <v>93</v>
      </c>
      <c r="AQ153" s="3" t="s">
        <v>93</v>
      </c>
      <c r="AR153" s="3" t="s">
        <v>93</v>
      </c>
      <c r="AS153" s="3" t="s">
        <v>93</v>
      </c>
      <c r="AT153" s="3" t="s">
        <v>93</v>
      </c>
      <c r="AU153" s="3" t="s">
        <v>93</v>
      </c>
      <c r="AV153" s="3" t="s">
        <v>93</v>
      </c>
      <c r="AW153" s="3" t="s">
        <v>93</v>
      </c>
      <c r="AX153" s="3" t="s">
        <v>94</v>
      </c>
      <c r="AY153" s="3" t="s">
        <v>93</v>
      </c>
      <c r="AZ153" s="3" t="s">
        <v>93</v>
      </c>
      <c r="BA153" s="3" t="s">
        <v>93</v>
      </c>
      <c r="BB153" s="3" t="s">
        <v>93</v>
      </c>
      <c r="BC153" s="3">
        <v>5</v>
      </c>
      <c r="BD153" s="3">
        <v>5</v>
      </c>
      <c r="BE153" s="3">
        <v>5</v>
      </c>
      <c r="BF153" s="3">
        <v>5</v>
      </c>
      <c r="BG153" s="3">
        <v>5</v>
      </c>
      <c r="BH153" s="3">
        <v>5</v>
      </c>
      <c r="BI153" s="3">
        <v>5</v>
      </c>
      <c r="BJ153" s="3">
        <v>5</v>
      </c>
      <c r="BK153" s="3">
        <v>5</v>
      </c>
      <c r="BL153" s="3">
        <v>5</v>
      </c>
      <c r="BM153" s="3">
        <v>5</v>
      </c>
      <c r="BN153" s="3">
        <v>5</v>
      </c>
      <c r="BO153" s="3">
        <v>5</v>
      </c>
      <c r="BP153" s="3">
        <v>5</v>
      </c>
      <c r="BQ153" s="3">
        <v>5</v>
      </c>
      <c r="BR153" s="3">
        <v>5</v>
      </c>
      <c r="BS153" s="3">
        <v>5</v>
      </c>
      <c r="BT153" s="3">
        <v>5</v>
      </c>
      <c r="BU153" s="3">
        <v>5</v>
      </c>
      <c r="BV153" s="3">
        <v>5</v>
      </c>
      <c r="BW153" s="3">
        <v>5</v>
      </c>
      <c r="BX153" s="3">
        <v>5</v>
      </c>
      <c r="BY153" s="3">
        <v>5</v>
      </c>
      <c r="BZ153" s="3">
        <v>5</v>
      </c>
      <c r="CA153" s="3">
        <v>5</v>
      </c>
      <c r="CB153" s="3">
        <v>5</v>
      </c>
      <c r="CC153" s="3">
        <v>5</v>
      </c>
      <c r="CD153" s="3">
        <v>5</v>
      </c>
      <c r="CF153" s="3">
        <v>21</v>
      </c>
      <c r="CG153" s="3">
        <v>50</v>
      </c>
      <c r="CH153" s="3">
        <v>90</v>
      </c>
      <c r="CI153" s="6">
        <f>COUNTIF(AG153:BB153, "Dispone")/22</f>
        <v>0.95454545454545459</v>
      </c>
      <c r="CJ153" s="7">
        <f>AVERAGE(BC153:BL153)</f>
        <v>5</v>
      </c>
      <c r="CK153" s="15">
        <f>AVERAGE(BM153:CD153)</f>
        <v>5</v>
      </c>
      <c r="CL153" s="9" t="str">
        <f>IF(AND(CI153&gt;50%, CJ153&gt;2.5, CK153&gt;2.5), "Compromiso", "")</f>
        <v>Compromiso</v>
      </c>
      <c r="CM153" s="9" t="str">
        <f>IF(AND(CI153&gt;75%, CJ153&gt;4, CK153&gt;4), "Liderazgo", "")</f>
        <v>Liderazgo</v>
      </c>
      <c r="CN153" s="9" t="str">
        <f>IF(AND(CI153&gt;90%, CJ153&gt;4.5, CK153&gt;4.5), "Transformación", "")</f>
        <v>Transformación</v>
      </c>
      <c r="CO153" s="9" t="s">
        <v>132</v>
      </c>
      <c r="CP153" s="9" t="s">
        <v>146</v>
      </c>
    </row>
    <row r="154" spans="1:155" ht="20.25" customHeight="1" x14ac:dyDescent="0.25">
      <c r="CL154" s="13"/>
      <c r="CM154" s="13"/>
      <c r="CN154" s="13"/>
      <c r="CO154" s="13"/>
      <c r="CP154" s="13"/>
    </row>
    <row r="155" spans="1:155" ht="20.25" customHeight="1" x14ac:dyDescent="0.25">
      <c r="CL155" s="13"/>
      <c r="CM155" s="13"/>
      <c r="CN155" s="13"/>
      <c r="CO155" s="13"/>
      <c r="CP155" s="13"/>
    </row>
    <row r="156" spans="1:155" ht="20.25" customHeight="1" x14ac:dyDescent="0.25">
      <c r="CL156" s="13"/>
      <c r="CM156" s="13"/>
      <c r="CN156" s="13"/>
      <c r="CO156" s="13"/>
      <c r="CP156" s="13"/>
    </row>
    <row r="157" spans="1:155" ht="20.25" customHeight="1" x14ac:dyDescent="0.25">
      <c r="CL157" s="13"/>
      <c r="CM157" s="13"/>
      <c r="CN157" s="13"/>
      <c r="CO157" s="13"/>
      <c r="CP157" s="13"/>
    </row>
    <row r="158" spans="1:155" ht="20.25" customHeight="1" x14ac:dyDescent="0.25">
      <c r="CL158" s="13"/>
      <c r="CM158" s="13"/>
      <c r="CN158" s="13"/>
      <c r="CO158" s="13"/>
      <c r="CP158" s="13"/>
    </row>
    <row r="159" spans="1:155" ht="20.25" customHeight="1" x14ac:dyDescent="0.25">
      <c r="CL159" s="13"/>
      <c r="CM159" s="13"/>
      <c r="CN159" s="13"/>
      <c r="CO159" s="13"/>
      <c r="CP159" s="13"/>
    </row>
    <row r="160" spans="1:155" ht="20.25" customHeight="1" x14ac:dyDescent="0.25">
      <c r="CL160" s="13"/>
      <c r="CM160" s="13"/>
      <c r="CN160" s="13"/>
      <c r="CO160" s="13"/>
      <c r="CP160" s="13"/>
    </row>
    <row r="161" spans="90:94" ht="20.25" customHeight="1" x14ac:dyDescent="0.25">
      <c r="CL161" s="13"/>
      <c r="CM161" s="13"/>
      <c r="CN161" s="13"/>
      <c r="CO161" s="13"/>
      <c r="CP161" s="13"/>
    </row>
    <row r="162" spans="90:94" ht="20.25" customHeight="1" x14ac:dyDescent="0.25">
      <c r="CL162" s="13"/>
      <c r="CM162" s="13"/>
      <c r="CN162" s="13"/>
      <c r="CO162" s="13"/>
      <c r="CP162" s="13"/>
    </row>
    <row r="163" spans="90:94" ht="20.25" customHeight="1" x14ac:dyDescent="0.25">
      <c r="CL163" s="13"/>
      <c r="CM163" s="13"/>
      <c r="CN163" s="13"/>
      <c r="CO163" s="13"/>
      <c r="CP163" s="13"/>
    </row>
    <row r="164" spans="90:94" ht="20.25" customHeight="1" x14ac:dyDescent="0.25">
      <c r="CL164" s="13"/>
      <c r="CM164" s="13"/>
      <c r="CN164" s="13"/>
      <c r="CO164" s="13"/>
      <c r="CP164" s="13"/>
    </row>
    <row r="165" spans="90:94" ht="20.25" customHeight="1" x14ac:dyDescent="0.25">
      <c r="CL165" s="13"/>
      <c r="CM165" s="13"/>
      <c r="CN165" s="13"/>
      <c r="CO165" s="13"/>
      <c r="CP165" s="13"/>
    </row>
    <row r="166" spans="90:94" ht="20.25" customHeight="1" x14ac:dyDescent="0.25">
      <c r="CL166" s="13"/>
      <c r="CM166" s="13"/>
      <c r="CN166" s="13"/>
      <c r="CO166" s="13"/>
      <c r="CP166" s="13"/>
    </row>
    <row r="167" spans="90:94" ht="20.25" customHeight="1" x14ac:dyDescent="0.25">
      <c r="CL167" s="13"/>
      <c r="CM167" s="13"/>
      <c r="CN167" s="13"/>
      <c r="CO167" s="13"/>
      <c r="CP167" s="13"/>
    </row>
    <row r="168" spans="90:94" ht="20.25" customHeight="1" x14ac:dyDescent="0.25">
      <c r="CL168" s="13"/>
      <c r="CM168" s="13"/>
      <c r="CN168" s="13"/>
      <c r="CO168" s="13"/>
      <c r="CP168" s="13"/>
    </row>
    <row r="169" spans="90:94" ht="20.25" customHeight="1" x14ac:dyDescent="0.25">
      <c r="CL169" s="13"/>
      <c r="CM169" s="13"/>
      <c r="CN169" s="13"/>
      <c r="CO169" s="13"/>
      <c r="CP169" s="13"/>
    </row>
    <row r="170" spans="90:94" ht="20.25" customHeight="1" x14ac:dyDescent="0.25">
      <c r="CL170" s="13"/>
      <c r="CM170" s="13"/>
      <c r="CN170" s="13"/>
      <c r="CO170" s="13"/>
      <c r="CP170" s="13"/>
    </row>
    <row r="171" spans="90:94" ht="20.25" customHeight="1" x14ac:dyDescent="0.25">
      <c r="CL171" s="13"/>
      <c r="CM171" s="13"/>
      <c r="CN171" s="13"/>
      <c r="CO171" s="13"/>
      <c r="CP171" s="13"/>
    </row>
    <row r="172" spans="90:94" ht="20.25" customHeight="1" x14ac:dyDescent="0.25">
      <c r="CL172" s="13"/>
      <c r="CM172" s="13"/>
      <c r="CN172" s="13"/>
      <c r="CO172" s="13"/>
      <c r="CP172" s="13"/>
    </row>
    <row r="173" spans="90:94" ht="20.25" customHeight="1" x14ac:dyDescent="0.25">
      <c r="CL173" s="13"/>
      <c r="CM173" s="13"/>
      <c r="CN173" s="13"/>
      <c r="CO173" s="13"/>
      <c r="CP173" s="13"/>
    </row>
    <row r="174" spans="90:94" ht="20.25" customHeight="1" x14ac:dyDescent="0.25">
      <c r="CL174" s="13"/>
      <c r="CM174" s="13"/>
      <c r="CN174" s="13"/>
      <c r="CO174" s="13"/>
      <c r="CP174" s="13"/>
    </row>
    <row r="175" spans="90:94" ht="20.25" customHeight="1" x14ac:dyDescent="0.25">
      <c r="CL175" s="13"/>
      <c r="CM175" s="13"/>
      <c r="CN175" s="13"/>
      <c r="CO175" s="13"/>
      <c r="CP175" s="13"/>
    </row>
    <row r="176" spans="90:94" ht="20.25" customHeight="1" x14ac:dyDescent="0.25">
      <c r="CL176" s="13"/>
      <c r="CM176" s="13"/>
      <c r="CN176" s="13"/>
      <c r="CO176" s="13"/>
      <c r="CP176" s="13"/>
    </row>
    <row r="177" spans="90:94" ht="20.25" customHeight="1" x14ac:dyDescent="0.25">
      <c r="CL177" s="13"/>
      <c r="CM177" s="13"/>
      <c r="CN177" s="13"/>
      <c r="CO177" s="13"/>
      <c r="CP177" s="13"/>
    </row>
    <row r="178" spans="90:94" ht="20.25" customHeight="1" x14ac:dyDescent="0.25">
      <c r="CL178" s="13"/>
      <c r="CM178" s="13"/>
      <c r="CN178" s="13"/>
      <c r="CO178" s="13"/>
      <c r="CP178" s="13"/>
    </row>
    <row r="179" spans="90:94" ht="20.25" customHeight="1" x14ac:dyDescent="0.25">
      <c r="CL179" s="13"/>
      <c r="CM179" s="13"/>
      <c r="CN179" s="13"/>
      <c r="CO179" s="13"/>
      <c r="CP179" s="13"/>
    </row>
    <row r="180" spans="90:94" ht="20.25" customHeight="1" x14ac:dyDescent="0.25">
      <c r="CL180" s="13"/>
      <c r="CM180" s="13"/>
      <c r="CN180" s="13"/>
      <c r="CO180" s="13"/>
      <c r="CP180" s="13"/>
    </row>
    <row r="181" spans="90:94" ht="20.25" customHeight="1" x14ac:dyDescent="0.25">
      <c r="CL181" s="13"/>
      <c r="CM181" s="13"/>
      <c r="CN181" s="13"/>
      <c r="CO181" s="13"/>
      <c r="CP181" s="13"/>
    </row>
    <row r="182" spans="90:94" ht="20.25" customHeight="1" x14ac:dyDescent="0.25">
      <c r="CL182" s="13"/>
      <c r="CM182" s="13"/>
      <c r="CN182" s="13"/>
      <c r="CO182" s="13"/>
      <c r="CP182" s="13"/>
    </row>
    <row r="183" spans="90:94" ht="20.25" customHeight="1" x14ac:dyDescent="0.25">
      <c r="CL183" s="13"/>
      <c r="CM183" s="13"/>
      <c r="CN183" s="13"/>
      <c r="CO183" s="13"/>
      <c r="CP183" s="13"/>
    </row>
    <row r="184" spans="90:94" ht="20.25" customHeight="1" x14ac:dyDescent="0.25">
      <c r="CL184" s="13"/>
      <c r="CM184" s="13"/>
      <c r="CN184" s="13"/>
      <c r="CO184" s="13"/>
      <c r="CP184" s="13"/>
    </row>
    <row r="185" spans="90:94" ht="20.25" customHeight="1" x14ac:dyDescent="0.25">
      <c r="CL185" s="13"/>
      <c r="CM185" s="13"/>
      <c r="CN185" s="13"/>
      <c r="CO185" s="13"/>
      <c r="CP185" s="13"/>
    </row>
    <row r="186" spans="90:94" ht="20.25" customHeight="1" x14ac:dyDescent="0.25">
      <c r="CL186" s="13"/>
      <c r="CM186" s="13"/>
      <c r="CN186" s="13"/>
      <c r="CO186" s="13"/>
      <c r="CP186" s="13"/>
    </row>
    <row r="187" spans="90:94" ht="20.25" customHeight="1" x14ac:dyDescent="0.25">
      <c r="CL187" s="13"/>
      <c r="CM187" s="13"/>
      <c r="CN187" s="13"/>
      <c r="CO187" s="13"/>
      <c r="CP187" s="13"/>
    </row>
    <row r="188" spans="90:94" ht="20.25" customHeight="1" x14ac:dyDescent="0.25">
      <c r="CL188" s="13"/>
      <c r="CM188" s="13"/>
      <c r="CN188" s="13"/>
      <c r="CO188" s="13"/>
      <c r="CP188" s="13"/>
    </row>
    <row r="189" spans="90:94" ht="20.25" customHeight="1" x14ac:dyDescent="0.25">
      <c r="CL189" s="13"/>
      <c r="CM189" s="13"/>
      <c r="CN189" s="13"/>
      <c r="CO189" s="13"/>
      <c r="CP189" s="13"/>
    </row>
    <row r="190" spans="90:94" ht="20.25" customHeight="1" x14ac:dyDescent="0.25">
      <c r="CL190" s="13"/>
      <c r="CM190" s="13"/>
      <c r="CN190" s="13"/>
      <c r="CO190" s="13"/>
      <c r="CP190" s="13"/>
    </row>
    <row r="191" spans="90:94" ht="20.25" customHeight="1" x14ac:dyDescent="0.25">
      <c r="CL191" s="13"/>
      <c r="CM191" s="13"/>
      <c r="CN191" s="13"/>
      <c r="CO191" s="13"/>
      <c r="CP191" s="13"/>
    </row>
    <row r="192" spans="90:94" ht="20.25" customHeight="1" x14ac:dyDescent="0.25">
      <c r="CL192" s="13"/>
      <c r="CM192" s="13"/>
      <c r="CN192" s="13"/>
      <c r="CO192" s="13"/>
      <c r="CP192" s="13"/>
    </row>
    <row r="193" spans="90:94" ht="20.25" customHeight="1" x14ac:dyDescent="0.25">
      <c r="CL193" s="13"/>
      <c r="CM193" s="13"/>
      <c r="CN193" s="13"/>
      <c r="CO193" s="13"/>
      <c r="CP193" s="13"/>
    </row>
    <row r="194" spans="90:94" ht="20.25" customHeight="1" x14ac:dyDescent="0.25">
      <c r="CL194" s="13"/>
      <c r="CM194" s="13"/>
      <c r="CN194" s="13"/>
      <c r="CO194" s="13"/>
      <c r="CP194" s="13"/>
    </row>
    <row r="195" spans="90:94" ht="20.25" customHeight="1" x14ac:dyDescent="0.25">
      <c r="CL195" s="13"/>
      <c r="CM195" s="13"/>
      <c r="CN195" s="13"/>
      <c r="CO195" s="13"/>
      <c r="CP195" s="13"/>
    </row>
    <row r="196" spans="90:94" ht="20.25" customHeight="1" x14ac:dyDescent="0.25">
      <c r="CL196" s="13"/>
      <c r="CM196" s="13"/>
      <c r="CN196" s="13"/>
      <c r="CO196" s="13"/>
      <c r="CP196" s="13"/>
    </row>
    <row r="197" spans="90:94" ht="20.25" customHeight="1" x14ac:dyDescent="0.25">
      <c r="CL197" s="13"/>
      <c r="CM197" s="13"/>
      <c r="CN197" s="13"/>
      <c r="CO197" s="13"/>
      <c r="CP197" s="13"/>
    </row>
    <row r="198" spans="90:94" ht="20.25" customHeight="1" x14ac:dyDescent="0.25">
      <c r="CL198" s="13"/>
      <c r="CM198" s="13"/>
      <c r="CN198" s="13"/>
      <c r="CO198" s="13"/>
      <c r="CP198" s="13"/>
    </row>
    <row r="199" spans="90:94" ht="20.25" customHeight="1" x14ac:dyDescent="0.25">
      <c r="CL199" s="13"/>
      <c r="CM199" s="13"/>
      <c r="CN199" s="13"/>
      <c r="CO199" s="13"/>
      <c r="CP199" s="13"/>
    </row>
    <row r="200" spans="90:94" ht="20.25" customHeight="1" x14ac:dyDescent="0.25">
      <c r="CL200" s="13"/>
      <c r="CM200" s="13"/>
      <c r="CN200" s="13"/>
      <c r="CO200" s="13"/>
      <c r="CP200" s="13"/>
    </row>
    <row r="201" spans="90:94" ht="20.25" customHeight="1" x14ac:dyDescent="0.25">
      <c r="CL201" s="13"/>
      <c r="CM201" s="13"/>
      <c r="CN201" s="13"/>
      <c r="CO201" s="13"/>
      <c r="CP201" s="13"/>
    </row>
    <row r="202" spans="90:94" ht="20.25" customHeight="1" x14ac:dyDescent="0.25">
      <c r="CL202" s="13"/>
      <c r="CM202" s="13"/>
      <c r="CN202" s="13"/>
      <c r="CO202" s="13"/>
      <c r="CP202" s="13"/>
    </row>
    <row r="203" spans="90:94" ht="20.25" customHeight="1" x14ac:dyDescent="0.25">
      <c r="CL203" s="13"/>
      <c r="CM203" s="13"/>
      <c r="CN203" s="13"/>
      <c r="CO203" s="13"/>
      <c r="CP203" s="13"/>
    </row>
    <row r="204" spans="90:94" ht="20.25" customHeight="1" x14ac:dyDescent="0.25">
      <c r="CL204" s="13"/>
      <c r="CM204" s="13"/>
      <c r="CN204" s="13"/>
      <c r="CO204" s="13"/>
      <c r="CP204" s="13"/>
    </row>
    <row r="205" spans="90:94" ht="20.25" customHeight="1" x14ac:dyDescent="0.25">
      <c r="CL205" s="13"/>
      <c r="CM205" s="13"/>
      <c r="CN205" s="13"/>
      <c r="CO205" s="13"/>
      <c r="CP205" s="13"/>
    </row>
    <row r="206" spans="90:94" ht="20.25" customHeight="1" x14ac:dyDescent="0.25">
      <c r="CL206" s="13"/>
      <c r="CM206" s="13"/>
      <c r="CN206" s="13"/>
      <c r="CO206" s="13"/>
      <c r="CP206" s="13"/>
    </row>
    <row r="207" spans="90:94" ht="20.25" customHeight="1" x14ac:dyDescent="0.25">
      <c r="CL207" s="13"/>
      <c r="CM207" s="13"/>
      <c r="CN207" s="13"/>
      <c r="CO207" s="13"/>
      <c r="CP207" s="13"/>
    </row>
    <row r="208" spans="90:94" ht="20.25" customHeight="1" x14ac:dyDescent="0.25">
      <c r="CL208" s="13"/>
      <c r="CM208" s="13"/>
      <c r="CN208" s="13"/>
      <c r="CO208" s="13"/>
      <c r="CP208" s="13"/>
    </row>
    <row r="209" spans="90:94" ht="20.25" customHeight="1" x14ac:dyDescent="0.25">
      <c r="CL209" s="13"/>
      <c r="CM209" s="13"/>
      <c r="CN209" s="13"/>
      <c r="CO209" s="13"/>
      <c r="CP209" s="13"/>
    </row>
    <row r="210" spans="90:94" ht="20.25" customHeight="1" x14ac:dyDescent="0.25">
      <c r="CL210" s="13"/>
      <c r="CM210" s="13"/>
      <c r="CN210" s="13"/>
      <c r="CO210" s="13"/>
      <c r="CP210" s="13"/>
    </row>
    <row r="211" spans="90:94" ht="20.25" customHeight="1" x14ac:dyDescent="0.25">
      <c r="CL211" s="13"/>
      <c r="CM211" s="13"/>
      <c r="CN211" s="13"/>
      <c r="CO211" s="13"/>
      <c r="CP211" s="13"/>
    </row>
    <row r="212" spans="90:94" ht="20.25" customHeight="1" x14ac:dyDescent="0.25">
      <c r="CL212" s="13"/>
      <c r="CM212" s="13"/>
      <c r="CN212" s="13"/>
      <c r="CO212" s="13"/>
      <c r="CP212" s="13"/>
    </row>
    <row r="213" spans="90:94" ht="20.25" customHeight="1" x14ac:dyDescent="0.25">
      <c r="CL213" s="13"/>
      <c r="CM213" s="13"/>
      <c r="CN213" s="13"/>
      <c r="CO213" s="13"/>
      <c r="CP213" s="13"/>
    </row>
    <row r="214" spans="90:94" ht="20.25" customHeight="1" x14ac:dyDescent="0.25">
      <c r="CL214" s="13"/>
      <c r="CM214" s="13"/>
      <c r="CN214" s="13"/>
      <c r="CO214" s="13"/>
      <c r="CP214" s="13"/>
    </row>
    <row r="215" spans="90:94" ht="20.25" customHeight="1" x14ac:dyDescent="0.25">
      <c r="CL215" s="13"/>
      <c r="CM215" s="13"/>
      <c r="CN215" s="13"/>
      <c r="CO215" s="13"/>
      <c r="CP215" s="13"/>
    </row>
    <row r="216" spans="90:94" ht="20.25" customHeight="1" x14ac:dyDescent="0.25">
      <c r="CL216" s="13"/>
      <c r="CM216" s="13"/>
      <c r="CN216" s="13"/>
      <c r="CO216" s="13"/>
      <c r="CP216" s="13"/>
    </row>
    <row r="217" spans="90:94" ht="20.25" customHeight="1" x14ac:dyDescent="0.25">
      <c r="CL217" s="13"/>
      <c r="CM217" s="13"/>
      <c r="CN217" s="13"/>
      <c r="CO217" s="13"/>
      <c r="CP217" s="13"/>
    </row>
    <row r="218" spans="90:94" ht="20.25" customHeight="1" x14ac:dyDescent="0.25">
      <c r="CL218" s="13"/>
      <c r="CM218" s="13"/>
      <c r="CN218" s="13"/>
      <c r="CO218" s="13"/>
      <c r="CP218" s="13"/>
    </row>
    <row r="219" spans="90:94" ht="20.25" customHeight="1" x14ac:dyDescent="0.25">
      <c r="CL219" s="13"/>
      <c r="CM219" s="13"/>
      <c r="CN219" s="13"/>
      <c r="CO219" s="13"/>
      <c r="CP219" s="13"/>
    </row>
    <row r="220" spans="90:94" ht="20.25" customHeight="1" x14ac:dyDescent="0.25">
      <c r="CL220" s="13"/>
      <c r="CM220" s="13"/>
      <c r="CN220" s="13"/>
      <c r="CO220" s="13"/>
      <c r="CP220" s="13"/>
    </row>
    <row r="221" spans="90:94" ht="20.25" customHeight="1" x14ac:dyDescent="0.25">
      <c r="CL221" s="13"/>
      <c r="CM221" s="13"/>
      <c r="CN221" s="13"/>
      <c r="CO221" s="13"/>
      <c r="CP221" s="13"/>
    </row>
    <row r="222" spans="90:94" ht="20.25" customHeight="1" x14ac:dyDescent="0.25">
      <c r="CL222" s="13"/>
      <c r="CM222" s="13"/>
      <c r="CN222" s="13"/>
      <c r="CO222" s="13"/>
      <c r="CP222" s="13"/>
    </row>
    <row r="223" spans="90:94" ht="20.25" customHeight="1" x14ac:dyDescent="0.25">
      <c r="CL223" s="13"/>
      <c r="CM223" s="13"/>
      <c r="CN223" s="13"/>
      <c r="CO223" s="13"/>
      <c r="CP223" s="13"/>
    </row>
    <row r="224" spans="90:94" ht="20.25" customHeight="1" x14ac:dyDescent="0.25">
      <c r="CL224" s="13"/>
      <c r="CM224" s="13"/>
      <c r="CN224" s="13"/>
      <c r="CO224" s="13"/>
      <c r="CP224" s="13"/>
    </row>
    <row r="225" spans="90:94" ht="20.25" customHeight="1" x14ac:dyDescent="0.25">
      <c r="CL225" s="13"/>
      <c r="CM225" s="13"/>
      <c r="CN225" s="13"/>
      <c r="CO225" s="13"/>
      <c r="CP225" s="13"/>
    </row>
    <row r="226" spans="90:94" ht="20.25" customHeight="1" x14ac:dyDescent="0.25">
      <c r="CL226" s="13"/>
      <c r="CM226" s="13"/>
      <c r="CN226" s="13"/>
      <c r="CO226" s="13"/>
      <c r="CP226" s="13"/>
    </row>
    <row r="227" spans="90:94" ht="20.25" customHeight="1" x14ac:dyDescent="0.25">
      <c r="CL227" s="13"/>
      <c r="CM227" s="13"/>
      <c r="CN227" s="13"/>
      <c r="CO227" s="13"/>
      <c r="CP227" s="13"/>
    </row>
    <row r="228" spans="90:94" ht="20.25" customHeight="1" x14ac:dyDescent="0.25">
      <c r="CL228" s="13"/>
      <c r="CM228" s="13"/>
      <c r="CN228" s="13"/>
      <c r="CO228" s="13"/>
      <c r="CP228" s="13"/>
    </row>
    <row r="229" spans="90:94" ht="20.25" customHeight="1" x14ac:dyDescent="0.25">
      <c r="CL229" s="13"/>
      <c r="CM229" s="13"/>
      <c r="CN229" s="13"/>
      <c r="CO229" s="13"/>
      <c r="CP229" s="13"/>
    </row>
    <row r="230" spans="90:94" ht="20.25" customHeight="1" x14ac:dyDescent="0.25">
      <c r="CL230" s="13"/>
      <c r="CM230" s="13"/>
      <c r="CN230" s="13"/>
      <c r="CO230" s="13"/>
      <c r="CP230" s="13"/>
    </row>
    <row r="231" spans="90:94" ht="20.25" customHeight="1" x14ac:dyDescent="0.25">
      <c r="CL231" s="13"/>
      <c r="CM231" s="13"/>
      <c r="CN231" s="13"/>
      <c r="CO231" s="13"/>
      <c r="CP231" s="13"/>
    </row>
    <row r="232" spans="90:94" ht="20.25" customHeight="1" x14ac:dyDescent="0.25">
      <c r="CL232" s="13"/>
      <c r="CM232" s="13"/>
      <c r="CN232" s="13"/>
      <c r="CO232" s="13"/>
      <c r="CP232" s="13"/>
    </row>
    <row r="233" spans="90:94" ht="20.25" customHeight="1" x14ac:dyDescent="0.25">
      <c r="CL233" s="13"/>
      <c r="CM233" s="13"/>
      <c r="CN233" s="13"/>
      <c r="CO233" s="13"/>
      <c r="CP233" s="13"/>
    </row>
    <row r="234" spans="90:94" ht="20.25" customHeight="1" x14ac:dyDescent="0.25">
      <c r="CL234" s="13"/>
      <c r="CM234" s="13"/>
      <c r="CN234" s="13"/>
      <c r="CO234" s="13"/>
      <c r="CP234" s="13"/>
    </row>
    <row r="235" spans="90:94" ht="20.25" customHeight="1" x14ac:dyDescent="0.25">
      <c r="CL235" s="13"/>
      <c r="CM235" s="13"/>
      <c r="CN235" s="13"/>
      <c r="CO235" s="13"/>
      <c r="CP235" s="13"/>
    </row>
    <row r="236" spans="90:94" ht="20.25" customHeight="1" x14ac:dyDescent="0.25">
      <c r="CL236" s="13"/>
      <c r="CM236" s="13"/>
      <c r="CN236" s="13"/>
      <c r="CO236" s="13"/>
      <c r="CP236" s="13"/>
    </row>
    <row r="237" spans="90:94" ht="20.25" customHeight="1" x14ac:dyDescent="0.25">
      <c r="CL237" s="13"/>
      <c r="CM237" s="13"/>
      <c r="CN237" s="13"/>
      <c r="CO237" s="13"/>
      <c r="CP237" s="13"/>
    </row>
    <row r="238" spans="90:94" ht="20.25" customHeight="1" x14ac:dyDescent="0.25">
      <c r="CL238" s="13"/>
      <c r="CM238" s="13"/>
      <c r="CN238" s="13"/>
      <c r="CO238" s="13"/>
      <c r="CP238" s="13"/>
    </row>
    <row r="239" spans="90:94" ht="20.25" customHeight="1" x14ac:dyDescent="0.25">
      <c r="CL239" s="13"/>
      <c r="CM239" s="13"/>
      <c r="CN239" s="13"/>
      <c r="CO239" s="13"/>
      <c r="CP239" s="13"/>
    </row>
    <row r="240" spans="90:94" ht="20.25" customHeight="1" x14ac:dyDescent="0.25">
      <c r="CL240" s="13"/>
      <c r="CM240" s="13"/>
      <c r="CN240" s="13"/>
      <c r="CO240" s="13"/>
      <c r="CP240" s="13"/>
    </row>
    <row r="241" spans="90:94" ht="20.25" customHeight="1" x14ac:dyDescent="0.25">
      <c r="CL241" s="13"/>
      <c r="CM241" s="13"/>
      <c r="CN241" s="13"/>
      <c r="CO241" s="13"/>
      <c r="CP241" s="13"/>
    </row>
    <row r="242" spans="90:94" ht="20.25" customHeight="1" x14ac:dyDescent="0.25">
      <c r="CL242" s="13"/>
      <c r="CM242" s="13"/>
      <c r="CN242" s="13"/>
      <c r="CO242" s="13"/>
      <c r="CP242" s="13"/>
    </row>
    <row r="243" spans="90:94" ht="20.25" customHeight="1" x14ac:dyDescent="0.25">
      <c r="CL243" s="13"/>
      <c r="CM243" s="13"/>
      <c r="CN243" s="13"/>
      <c r="CO243" s="13"/>
      <c r="CP243" s="13"/>
    </row>
    <row r="244" spans="90:94" ht="20.25" customHeight="1" x14ac:dyDescent="0.25">
      <c r="CL244" s="13"/>
      <c r="CM244" s="13"/>
      <c r="CN244" s="13"/>
      <c r="CO244" s="13"/>
      <c r="CP244" s="13"/>
    </row>
    <row r="245" spans="90:94" ht="20.25" customHeight="1" x14ac:dyDescent="0.25">
      <c r="CL245" s="13"/>
      <c r="CM245" s="13"/>
      <c r="CN245" s="13"/>
      <c r="CO245" s="13"/>
      <c r="CP245" s="13"/>
    </row>
    <row r="246" spans="90:94" ht="20.25" customHeight="1" x14ac:dyDescent="0.25">
      <c r="CL246" s="13"/>
      <c r="CM246" s="13"/>
      <c r="CN246" s="13"/>
      <c r="CO246" s="13"/>
      <c r="CP246" s="13"/>
    </row>
    <row r="247" spans="90:94" ht="20.25" customHeight="1" x14ac:dyDescent="0.25">
      <c r="CL247" s="13"/>
      <c r="CM247" s="13"/>
      <c r="CN247" s="13"/>
      <c r="CO247" s="13"/>
      <c r="CP247" s="13"/>
    </row>
    <row r="248" spans="90:94" ht="20.25" customHeight="1" x14ac:dyDescent="0.25">
      <c r="CL248" s="13"/>
      <c r="CM248" s="13"/>
      <c r="CN248" s="13"/>
      <c r="CO248" s="13"/>
      <c r="CP248" s="13"/>
    </row>
    <row r="249" spans="90:94" ht="20.25" customHeight="1" x14ac:dyDescent="0.25">
      <c r="CL249" s="13"/>
      <c r="CM249" s="13"/>
      <c r="CN249" s="13"/>
      <c r="CO249" s="13"/>
      <c r="CP249" s="13"/>
    </row>
    <row r="250" spans="90:94" ht="20.25" customHeight="1" x14ac:dyDescent="0.25">
      <c r="CL250" s="13"/>
      <c r="CM250" s="13"/>
      <c r="CN250" s="13"/>
      <c r="CO250" s="13"/>
      <c r="CP250" s="13"/>
    </row>
    <row r="251" spans="90:94" ht="20.25" customHeight="1" x14ac:dyDescent="0.25">
      <c r="CL251" s="13"/>
      <c r="CM251" s="13"/>
      <c r="CN251" s="13"/>
      <c r="CO251" s="13"/>
      <c r="CP251" s="13"/>
    </row>
    <row r="252" spans="90:94" ht="20.25" customHeight="1" x14ac:dyDescent="0.25">
      <c r="CL252" s="13"/>
      <c r="CM252" s="13"/>
      <c r="CN252" s="13"/>
      <c r="CO252" s="13"/>
      <c r="CP252" s="13"/>
    </row>
    <row r="253" spans="90:94" ht="20.25" customHeight="1" x14ac:dyDescent="0.25">
      <c r="CL253" s="13"/>
      <c r="CM253" s="13"/>
      <c r="CN253" s="13"/>
      <c r="CO253" s="13"/>
      <c r="CP253" s="13"/>
    </row>
    <row r="254" spans="90:94" ht="20.25" customHeight="1" x14ac:dyDescent="0.25">
      <c r="CL254" s="13"/>
      <c r="CM254" s="13"/>
      <c r="CN254" s="13"/>
      <c r="CO254" s="13"/>
      <c r="CP254" s="13"/>
    </row>
    <row r="255" spans="90:94" ht="20.25" customHeight="1" x14ac:dyDescent="0.25">
      <c r="CL255" s="13"/>
      <c r="CM255" s="13"/>
      <c r="CN255" s="13"/>
      <c r="CO255" s="13"/>
      <c r="CP255" s="13"/>
    </row>
    <row r="256" spans="90:94" ht="20.25" customHeight="1" x14ac:dyDescent="0.25">
      <c r="CL256" s="13"/>
      <c r="CM256" s="13"/>
      <c r="CN256" s="13"/>
      <c r="CO256" s="13"/>
      <c r="CP256" s="13"/>
    </row>
    <row r="257" spans="90:94" ht="20.25" customHeight="1" x14ac:dyDescent="0.25">
      <c r="CL257" s="13"/>
      <c r="CM257" s="13"/>
      <c r="CN257" s="13"/>
      <c r="CO257" s="13"/>
      <c r="CP257" s="13"/>
    </row>
    <row r="258" spans="90:94" ht="20.25" customHeight="1" x14ac:dyDescent="0.25">
      <c r="CL258" s="13"/>
      <c r="CM258" s="13"/>
      <c r="CN258" s="13"/>
      <c r="CO258" s="13"/>
      <c r="CP258" s="13"/>
    </row>
    <row r="259" spans="90:94" ht="20.25" customHeight="1" x14ac:dyDescent="0.25">
      <c r="CL259" s="13"/>
      <c r="CM259" s="13"/>
      <c r="CN259" s="13"/>
      <c r="CO259" s="13"/>
      <c r="CP259" s="13"/>
    </row>
    <row r="260" spans="90:94" ht="20.25" customHeight="1" x14ac:dyDescent="0.25">
      <c r="CL260" s="13"/>
      <c r="CM260" s="13"/>
      <c r="CN260" s="13"/>
      <c r="CO260" s="13"/>
      <c r="CP260" s="13"/>
    </row>
    <row r="261" spans="90:94" ht="20.25" customHeight="1" x14ac:dyDescent="0.25">
      <c r="CL261" s="13"/>
      <c r="CM261" s="13"/>
      <c r="CN261" s="13"/>
      <c r="CO261" s="13"/>
      <c r="CP261" s="13"/>
    </row>
    <row r="262" spans="90:94" ht="20.25" customHeight="1" x14ac:dyDescent="0.25">
      <c r="CL262" s="13"/>
      <c r="CM262" s="13"/>
      <c r="CN262" s="13"/>
      <c r="CO262" s="13"/>
      <c r="CP262" s="13"/>
    </row>
    <row r="263" spans="90:94" ht="20.25" customHeight="1" x14ac:dyDescent="0.25">
      <c r="CL263" s="13"/>
      <c r="CM263" s="13"/>
      <c r="CN263" s="13"/>
      <c r="CO263" s="13"/>
      <c r="CP263" s="13"/>
    </row>
    <row r="264" spans="90:94" ht="20.25" customHeight="1" x14ac:dyDescent="0.25">
      <c r="CL264" s="13"/>
      <c r="CM264" s="13"/>
      <c r="CN264" s="13"/>
      <c r="CO264" s="13"/>
      <c r="CP264" s="13"/>
    </row>
    <row r="265" spans="90:94" ht="20.25" customHeight="1" x14ac:dyDescent="0.25">
      <c r="CL265" s="13"/>
      <c r="CM265" s="13"/>
      <c r="CN265" s="13"/>
      <c r="CO265" s="13"/>
      <c r="CP265" s="13"/>
    </row>
    <row r="266" spans="90:94" ht="20.25" customHeight="1" x14ac:dyDescent="0.25">
      <c r="CL266" s="13"/>
      <c r="CM266" s="13"/>
      <c r="CN266" s="13"/>
      <c r="CO266" s="13"/>
      <c r="CP266" s="13"/>
    </row>
    <row r="267" spans="90:94" ht="20.25" customHeight="1" x14ac:dyDescent="0.25">
      <c r="CL267" s="13"/>
      <c r="CM267" s="13"/>
      <c r="CN267" s="13"/>
      <c r="CO267" s="13"/>
      <c r="CP267" s="13"/>
    </row>
    <row r="268" spans="90:94" ht="20.25" customHeight="1" x14ac:dyDescent="0.25">
      <c r="CL268" s="13"/>
      <c r="CM268" s="13"/>
      <c r="CN268" s="13"/>
      <c r="CO268" s="13"/>
      <c r="CP268" s="13"/>
    </row>
    <row r="269" spans="90:94" ht="20.25" customHeight="1" x14ac:dyDescent="0.25">
      <c r="CL269" s="13"/>
      <c r="CM269" s="13"/>
      <c r="CN269" s="13"/>
      <c r="CO269" s="13"/>
      <c r="CP269" s="13"/>
    </row>
    <row r="270" spans="90:94" ht="20.25" customHeight="1" x14ac:dyDescent="0.25">
      <c r="CL270" s="13"/>
      <c r="CM270" s="13"/>
      <c r="CN270" s="13"/>
      <c r="CO270" s="13"/>
      <c r="CP270" s="13"/>
    </row>
    <row r="271" spans="90:94" ht="20.25" customHeight="1" x14ac:dyDescent="0.25">
      <c r="CL271" s="13"/>
      <c r="CM271" s="13"/>
      <c r="CN271" s="13"/>
      <c r="CO271" s="13"/>
      <c r="CP271" s="13"/>
    </row>
    <row r="272" spans="90:94" ht="20.25" customHeight="1" x14ac:dyDescent="0.25">
      <c r="CL272" s="13"/>
      <c r="CM272" s="13"/>
      <c r="CN272" s="13"/>
      <c r="CO272" s="13"/>
      <c r="CP272" s="13"/>
    </row>
    <row r="273" spans="90:94" ht="20.25" customHeight="1" x14ac:dyDescent="0.25">
      <c r="CL273" s="13"/>
      <c r="CM273" s="13"/>
      <c r="CN273" s="13"/>
      <c r="CO273" s="13"/>
      <c r="CP273" s="13"/>
    </row>
    <row r="274" spans="90:94" ht="20.25" customHeight="1" x14ac:dyDescent="0.25">
      <c r="CL274" s="13"/>
      <c r="CM274" s="13"/>
      <c r="CN274" s="13"/>
      <c r="CO274" s="13"/>
      <c r="CP274" s="13"/>
    </row>
    <row r="275" spans="90:94" ht="20.25" customHeight="1" x14ac:dyDescent="0.25">
      <c r="CL275" s="13"/>
      <c r="CM275" s="13"/>
      <c r="CN275" s="13"/>
      <c r="CO275" s="13"/>
      <c r="CP275" s="13"/>
    </row>
    <row r="276" spans="90:94" ht="20.25" customHeight="1" x14ac:dyDescent="0.25">
      <c r="CL276" s="13"/>
      <c r="CM276" s="13"/>
      <c r="CN276" s="13"/>
      <c r="CO276" s="13"/>
      <c r="CP276" s="13"/>
    </row>
    <row r="277" spans="90:94" ht="20.25" customHeight="1" x14ac:dyDescent="0.25">
      <c r="CL277" s="13"/>
      <c r="CM277" s="13"/>
      <c r="CN277" s="13"/>
      <c r="CO277" s="13"/>
      <c r="CP277" s="13"/>
    </row>
    <row r="278" spans="90:94" ht="20.25" customHeight="1" x14ac:dyDescent="0.25">
      <c r="CL278" s="13"/>
      <c r="CM278" s="13"/>
      <c r="CN278" s="13"/>
      <c r="CO278" s="13"/>
      <c r="CP278" s="13"/>
    </row>
    <row r="279" spans="90:94" ht="20.25" customHeight="1" x14ac:dyDescent="0.25">
      <c r="CL279" s="13"/>
      <c r="CM279" s="13"/>
      <c r="CN279" s="13"/>
      <c r="CO279" s="13"/>
      <c r="CP279" s="13"/>
    </row>
    <row r="280" spans="90:94" ht="20.25" customHeight="1" x14ac:dyDescent="0.25">
      <c r="CL280" s="13"/>
      <c r="CM280" s="13"/>
      <c r="CN280" s="13"/>
      <c r="CO280" s="13"/>
      <c r="CP280" s="13"/>
    </row>
    <row r="281" spans="90:94" ht="20.25" customHeight="1" x14ac:dyDescent="0.25">
      <c r="CL281" s="13"/>
      <c r="CM281" s="13"/>
      <c r="CN281" s="13"/>
      <c r="CO281" s="13"/>
      <c r="CP281" s="13"/>
    </row>
    <row r="282" spans="90:94" ht="20.25" customHeight="1" x14ac:dyDescent="0.25">
      <c r="CL282" s="13"/>
      <c r="CM282" s="13"/>
      <c r="CN282" s="13"/>
      <c r="CO282" s="13"/>
      <c r="CP282" s="13"/>
    </row>
    <row r="283" spans="90:94" ht="20.25" customHeight="1" x14ac:dyDescent="0.25">
      <c r="CL283" s="13"/>
      <c r="CM283" s="13"/>
      <c r="CN283" s="13"/>
      <c r="CO283" s="13"/>
      <c r="CP283" s="13"/>
    </row>
    <row r="284" spans="90:94" ht="20.25" customHeight="1" x14ac:dyDescent="0.25">
      <c r="CL284" s="13"/>
      <c r="CM284" s="13"/>
      <c r="CN284" s="13"/>
      <c r="CO284" s="13"/>
      <c r="CP284" s="13"/>
    </row>
    <row r="285" spans="90:94" ht="20.25" customHeight="1" x14ac:dyDescent="0.25">
      <c r="CL285" s="13"/>
      <c r="CM285" s="13"/>
      <c r="CN285" s="13"/>
      <c r="CO285" s="13"/>
      <c r="CP285" s="13"/>
    </row>
    <row r="286" spans="90:94" ht="20.25" customHeight="1" x14ac:dyDescent="0.25">
      <c r="CL286" s="13"/>
      <c r="CM286" s="13"/>
      <c r="CN286" s="13"/>
      <c r="CO286" s="13"/>
      <c r="CP286" s="13"/>
    </row>
    <row r="287" spans="90:94" ht="20.25" customHeight="1" x14ac:dyDescent="0.25">
      <c r="CL287" s="13"/>
      <c r="CM287" s="13"/>
      <c r="CN287" s="13"/>
      <c r="CO287" s="13"/>
      <c r="CP287" s="13"/>
    </row>
    <row r="288" spans="90:94" ht="20.25" customHeight="1" x14ac:dyDescent="0.25">
      <c r="CL288" s="13"/>
      <c r="CM288" s="13"/>
      <c r="CN288" s="13"/>
      <c r="CO288" s="13"/>
      <c r="CP288" s="13"/>
    </row>
    <row r="289" spans="90:94" ht="20.25" customHeight="1" x14ac:dyDescent="0.25">
      <c r="CL289" s="13"/>
      <c r="CM289" s="13"/>
      <c r="CN289" s="13"/>
      <c r="CO289" s="13"/>
      <c r="CP289" s="13"/>
    </row>
    <row r="290" spans="90:94" ht="20.25" customHeight="1" x14ac:dyDescent="0.25">
      <c r="CL290" s="13"/>
      <c r="CM290" s="13"/>
      <c r="CN290" s="13"/>
      <c r="CO290" s="13"/>
      <c r="CP290" s="13"/>
    </row>
    <row r="291" spans="90:94" ht="20.25" customHeight="1" x14ac:dyDescent="0.25">
      <c r="CL291" s="13"/>
      <c r="CM291" s="13"/>
      <c r="CN291" s="13"/>
      <c r="CO291" s="13"/>
      <c r="CP291" s="13"/>
    </row>
    <row r="292" spans="90:94" ht="20.25" customHeight="1" x14ac:dyDescent="0.25">
      <c r="CL292" s="13"/>
      <c r="CM292" s="13"/>
      <c r="CN292" s="13"/>
      <c r="CO292" s="13"/>
      <c r="CP292" s="13"/>
    </row>
    <row r="293" spans="90:94" ht="20.25" customHeight="1" x14ac:dyDescent="0.25">
      <c r="CL293" s="13"/>
      <c r="CM293" s="13"/>
      <c r="CN293" s="13"/>
      <c r="CO293" s="13"/>
      <c r="CP293" s="13"/>
    </row>
    <row r="294" spans="90:94" ht="20.25" customHeight="1" x14ac:dyDescent="0.25">
      <c r="CL294" s="13"/>
      <c r="CM294" s="13"/>
      <c r="CN294" s="13"/>
      <c r="CO294" s="13"/>
      <c r="CP294" s="13"/>
    </row>
    <row r="295" spans="90:94" ht="20.25" customHeight="1" x14ac:dyDescent="0.25">
      <c r="CL295" s="13"/>
      <c r="CM295" s="13"/>
      <c r="CN295" s="13"/>
      <c r="CO295" s="13"/>
      <c r="CP295" s="13"/>
    </row>
    <row r="296" spans="90:94" ht="20.25" customHeight="1" x14ac:dyDescent="0.25">
      <c r="CL296" s="13"/>
      <c r="CM296" s="13"/>
      <c r="CN296" s="13"/>
      <c r="CO296" s="13"/>
      <c r="CP296" s="13"/>
    </row>
    <row r="297" spans="90:94" ht="20.25" customHeight="1" x14ac:dyDescent="0.25">
      <c r="CL297" s="13"/>
      <c r="CM297" s="13"/>
      <c r="CN297" s="13"/>
      <c r="CO297" s="13"/>
      <c r="CP297" s="13"/>
    </row>
    <row r="298" spans="90:94" ht="20.25" customHeight="1" x14ac:dyDescent="0.25">
      <c r="CL298" s="13"/>
      <c r="CM298" s="13"/>
      <c r="CN298" s="13"/>
      <c r="CO298" s="13"/>
      <c r="CP298" s="13"/>
    </row>
    <row r="299" spans="90:94" ht="20.25" customHeight="1" x14ac:dyDescent="0.25">
      <c r="CL299" s="13"/>
      <c r="CM299" s="13"/>
      <c r="CN299" s="13"/>
      <c r="CO299" s="13"/>
      <c r="CP299" s="13"/>
    </row>
    <row r="300" spans="90:94" ht="20.25" customHeight="1" x14ac:dyDescent="0.25">
      <c r="CL300" s="13"/>
      <c r="CM300" s="13"/>
      <c r="CN300" s="13"/>
      <c r="CO300" s="13"/>
      <c r="CP300" s="13"/>
    </row>
    <row r="301" spans="90:94" ht="20.25" customHeight="1" x14ac:dyDescent="0.25">
      <c r="CL301" s="13"/>
      <c r="CM301" s="13"/>
      <c r="CN301" s="13"/>
      <c r="CO301" s="13"/>
      <c r="CP301" s="13"/>
    </row>
    <row r="302" spans="90:94" ht="20.25" customHeight="1" x14ac:dyDescent="0.25">
      <c r="CL302" s="13"/>
      <c r="CM302" s="13"/>
      <c r="CN302" s="13"/>
      <c r="CO302" s="13"/>
      <c r="CP302" s="13"/>
    </row>
    <row r="303" spans="90:94" ht="20.25" customHeight="1" x14ac:dyDescent="0.25">
      <c r="CL303" s="13"/>
      <c r="CM303" s="13"/>
      <c r="CN303" s="13"/>
      <c r="CO303" s="13"/>
      <c r="CP303" s="13"/>
    </row>
    <row r="304" spans="90:94" ht="20.25" customHeight="1" x14ac:dyDescent="0.25">
      <c r="CL304" s="13"/>
      <c r="CM304" s="13"/>
      <c r="CN304" s="13"/>
      <c r="CO304" s="13"/>
      <c r="CP304" s="13"/>
    </row>
    <row r="305" spans="90:94" ht="20.25" customHeight="1" x14ac:dyDescent="0.25">
      <c r="CL305" s="13"/>
      <c r="CM305" s="13"/>
      <c r="CN305" s="13"/>
      <c r="CO305" s="13"/>
      <c r="CP305" s="13"/>
    </row>
    <row r="306" spans="90:94" ht="20.25" customHeight="1" x14ac:dyDescent="0.25">
      <c r="CL306" s="13"/>
      <c r="CM306" s="13"/>
      <c r="CN306" s="13"/>
      <c r="CO306" s="13"/>
      <c r="CP306" s="13"/>
    </row>
    <row r="307" spans="90:94" ht="20.25" customHeight="1" x14ac:dyDescent="0.25">
      <c r="CL307" s="13"/>
      <c r="CM307" s="13"/>
      <c r="CN307" s="13"/>
      <c r="CO307" s="13"/>
      <c r="CP307" s="13"/>
    </row>
    <row r="308" spans="90:94" ht="20.25" customHeight="1" x14ac:dyDescent="0.25">
      <c r="CL308" s="13"/>
      <c r="CM308" s="13"/>
      <c r="CN308" s="13"/>
      <c r="CO308" s="13"/>
      <c r="CP308" s="13"/>
    </row>
    <row r="309" spans="90:94" ht="20.25" customHeight="1" x14ac:dyDescent="0.25">
      <c r="CL309" s="13"/>
      <c r="CM309" s="13"/>
      <c r="CN309" s="13"/>
      <c r="CO309" s="13"/>
      <c r="CP309" s="13"/>
    </row>
    <row r="310" spans="90:94" ht="20.25" customHeight="1" x14ac:dyDescent="0.25">
      <c r="CL310" s="13"/>
      <c r="CM310" s="13"/>
      <c r="CN310" s="13"/>
      <c r="CO310" s="13"/>
      <c r="CP310" s="13"/>
    </row>
    <row r="311" spans="90:94" ht="20.25" customHeight="1" x14ac:dyDescent="0.25">
      <c r="CL311" s="13"/>
      <c r="CM311" s="13"/>
      <c r="CN311" s="13"/>
      <c r="CO311" s="13"/>
      <c r="CP311" s="13"/>
    </row>
    <row r="312" spans="90:94" ht="20.25" customHeight="1" x14ac:dyDescent="0.25">
      <c r="CL312" s="13"/>
      <c r="CM312" s="13"/>
      <c r="CN312" s="13"/>
      <c r="CO312" s="13"/>
      <c r="CP312" s="13"/>
    </row>
    <row r="313" spans="90:94" ht="20.25" customHeight="1" x14ac:dyDescent="0.25">
      <c r="CL313" s="13"/>
      <c r="CM313" s="13"/>
      <c r="CN313" s="13"/>
      <c r="CO313" s="13"/>
      <c r="CP313" s="13"/>
    </row>
    <row r="314" spans="90:94" ht="20.25" customHeight="1" x14ac:dyDescent="0.25">
      <c r="CL314" s="13"/>
      <c r="CM314" s="13"/>
      <c r="CN314" s="13"/>
      <c r="CO314" s="13"/>
      <c r="CP314" s="13"/>
    </row>
    <row r="315" spans="90:94" ht="20.25" customHeight="1" x14ac:dyDescent="0.25">
      <c r="CL315" s="13"/>
      <c r="CM315" s="13"/>
      <c r="CN315" s="13"/>
      <c r="CO315" s="13"/>
      <c r="CP315" s="13"/>
    </row>
    <row r="316" spans="90:94" ht="20.25" customHeight="1" x14ac:dyDescent="0.25">
      <c r="CL316" s="13"/>
      <c r="CM316" s="13"/>
      <c r="CN316" s="13"/>
      <c r="CO316" s="13"/>
      <c r="CP316" s="13"/>
    </row>
    <row r="317" spans="90:94" ht="20.25" customHeight="1" x14ac:dyDescent="0.25">
      <c r="CL317" s="13"/>
      <c r="CM317" s="13"/>
      <c r="CN317" s="13"/>
      <c r="CO317" s="13"/>
      <c r="CP317" s="13"/>
    </row>
    <row r="318" spans="90:94" ht="20.25" customHeight="1" x14ac:dyDescent="0.25">
      <c r="CL318" s="13"/>
      <c r="CM318" s="13"/>
      <c r="CN318" s="13"/>
      <c r="CO318" s="13"/>
      <c r="CP318" s="13"/>
    </row>
    <row r="319" spans="90:94" ht="20.25" customHeight="1" x14ac:dyDescent="0.25">
      <c r="CL319" s="13"/>
      <c r="CM319" s="13"/>
      <c r="CN319" s="13"/>
      <c r="CO319" s="13"/>
      <c r="CP319" s="13"/>
    </row>
    <row r="320" spans="90:94" ht="20.25" customHeight="1" x14ac:dyDescent="0.25">
      <c r="CL320" s="13"/>
      <c r="CM320" s="13"/>
      <c r="CN320" s="13"/>
      <c r="CO320" s="13"/>
      <c r="CP320" s="13"/>
    </row>
    <row r="321" spans="90:94" ht="20.25" customHeight="1" x14ac:dyDescent="0.25">
      <c r="CL321" s="13"/>
      <c r="CM321" s="13"/>
      <c r="CN321" s="13"/>
      <c r="CO321" s="13"/>
      <c r="CP321" s="13"/>
    </row>
    <row r="322" spans="90:94" ht="20.25" customHeight="1" x14ac:dyDescent="0.25">
      <c r="CL322" s="13"/>
      <c r="CM322" s="13"/>
      <c r="CN322" s="13"/>
      <c r="CO322" s="13"/>
      <c r="CP322" s="13"/>
    </row>
    <row r="323" spans="90:94" ht="20.25" customHeight="1" x14ac:dyDescent="0.25">
      <c r="CL323" s="13"/>
      <c r="CM323" s="13"/>
      <c r="CN323" s="13"/>
      <c r="CO323" s="13"/>
      <c r="CP323" s="13"/>
    </row>
    <row r="324" spans="90:94" ht="20.25" customHeight="1" x14ac:dyDescent="0.25">
      <c r="CL324" s="13"/>
      <c r="CM324" s="13"/>
      <c r="CN324" s="13"/>
      <c r="CO324" s="13"/>
      <c r="CP324" s="13"/>
    </row>
    <row r="325" spans="90:94" ht="20.25" customHeight="1" x14ac:dyDescent="0.25">
      <c r="CL325" s="13"/>
      <c r="CM325" s="13"/>
      <c r="CN325" s="13"/>
      <c r="CO325" s="13"/>
      <c r="CP325" s="13"/>
    </row>
    <row r="326" spans="90:94" ht="20.25" customHeight="1" x14ac:dyDescent="0.25">
      <c r="CL326" s="13"/>
      <c r="CM326" s="13"/>
      <c r="CN326" s="13"/>
      <c r="CO326" s="13"/>
      <c r="CP326" s="13"/>
    </row>
    <row r="327" spans="90:94" ht="20.25" customHeight="1" x14ac:dyDescent="0.25">
      <c r="CL327" s="13"/>
      <c r="CM327" s="13"/>
      <c r="CN327" s="13"/>
      <c r="CO327" s="13"/>
      <c r="CP327" s="13"/>
    </row>
    <row r="328" spans="90:94" ht="20.25" customHeight="1" x14ac:dyDescent="0.25">
      <c r="CL328" s="13"/>
      <c r="CM328" s="13"/>
      <c r="CN328" s="13"/>
      <c r="CO328" s="13"/>
      <c r="CP328" s="13"/>
    </row>
    <row r="329" spans="90:94" ht="20.25" customHeight="1" x14ac:dyDescent="0.25">
      <c r="CL329" s="13"/>
      <c r="CM329" s="13"/>
      <c r="CN329" s="13"/>
      <c r="CO329" s="13"/>
      <c r="CP329" s="13"/>
    </row>
    <row r="330" spans="90:94" ht="20.25" customHeight="1" x14ac:dyDescent="0.25">
      <c r="CL330" s="13"/>
      <c r="CM330" s="13"/>
      <c r="CN330" s="13"/>
      <c r="CO330" s="13"/>
      <c r="CP330" s="13"/>
    </row>
    <row r="331" spans="90:94" ht="20.25" customHeight="1" x14ac:dyDescent="0.25">
      <c r="CL331" s="13"/>
      <c r="CM331" s="13"/>
      <c r="CN331" s="13"/>
      <c r="CO331" s="13"/>
      <c r="CP331" s="13"/>
    </row>
    <row r="332" spans="90:94" ht="20.25" customHeight="1" x14ac:dyDescent="0.25">
      <c r="CL332" s="13"/>
      <c r="CM332" s="13"/>
      <c r="CN332" s="13"/>
      <c r="CO332" s="13"/>
      <c r="CP332" s="13"/>
    </row>
    <row r="333" spans="90:94" ht="20.25" customHeight="1" x14ac:dyDescent="0.25">
      <c r="CL333" s="13"/>
      <c r="CM333" s="13"/>
      <c r="CN333" s="13"/>
      <c r="CO333" s="13"/>
      <c r="CP333" s="13"/>
    </row>
    <row r="334" spans="90:94" ht="20.25" customHeight="1" x14ac:dyDescent="0.25">
      <c r="CL334" s="13"/>
      <c r="CM334" s="13"/>
      <c r="CN334" s="13"/>
      <c r="CO334" s="13"/>
      <c r="CP334" s="13"/>
    </row>
    <row r="335" spans="90:94" ht="20.25" customHeight="1" x14ac:dyDescent="0.25">
      <c r="CL335" s="13"/>
      <c r="CM335" s="13"/>
      <c r="CN335" s="13"/>
      <c r="CO335" s="13"/>
      <c r="CP335" s="13"/>
    </row>
    <row r="336" spans="90:94" ht="20.25" customHeight="1" x14ac:dyDescent="0.25">
      <c r="CL336" s="13"/>
      <c r="CM336" s="13"/>
      <c r="CN336" s="13"/>
      <c r="CO336" s="13"/>
      <c r="CP336" s="13"/>
    </row>
    <row r="337" spans="90:94" ht="20.25" customHeight="1" x14ac:dyDescent="0.25">
      <c r="CL337" s="13"/>
      <c r="CM337" s="13"/>
      <c r="CN337" s="13"/>
      <c r="CO337" s="13"/>
      <c r="CP337" s="13"/>
    </row>
    <row r="338" spans="90:94" ht="20.25" customHeight="1" x14ac:dyDescent="0.25">
      <c r="CL338" s="13"/>
      <c r="CM338" s="13"/>
      <c r="CN338" s="13"/>
      <c r="CO338" s="13"/>
      <c r="CP338" s="13"/>
    </row>
    <row r="339" spans="90:94" ht="20.25" customHeight="1" x14ac:dyDescent="0.25">
      <c r="CL339" s="13"/>
      <c r="CM339" s="13"/>
      <c r="CN339" s="13"/>
      <c r="CO339" s="13"/>
      <c r="CP339" s="13"/>
    </row>
    <row r="340" spans="90:94" ht="20.25" customHeight="1" x14ac:dyDescent="0.25">
      <c r="CL340" s="13"/>
      <c r="CM340" s="13"/>
      <c r="CN340" s="13"/>
      <c r="CO340" s="13"/>
      <c r="CP340" s="13"/>
    </row>
    <row r="341" spans="90:94" ht="20.25" customHeight="1" x14ac:dyDescent="0.25">
      <c r="CL341" s="13"/>
      <c r="CM341" s="13"/>
      <c r="CN341" s="13"/>
      <c r="CO341" s="13"/>
      <c r="CP341" s="13"/>
    </row>
    <row r="342" spans="90:94" ht="20.25" customHeight="1" x14ac:dyDescent="0.25">
      <c r="CL342" s="13"/>
      <c r="CM342" s="13"/>
      <c r="CN342" s="13"/>
      <c r="CO342" s="13"/>
      <c r="CP342" s="13"/>
    </row>
    <row r="343" spans="90:94" ht="20.25" customHeight="1" x14ac:dyDescent="0.25">
      <c r="CL343" s="13"/>
      <c r="CM343" s="13"/>
      <c r="CN343" s="13"/>
      <c r="CO343" s="13"/>
      <c r="CP343" s="13"/>
    </row>
    <row r="344" spans="90:94" ht="20.25" customHeight="1" x14ac:dyDescent="0.25">
      <c r="CL344" s="13"/>
      <c r="CM344" s="13"/>
      <c r="CN344" s="13"/>
      <c r="CO344" s="13"/>
      <c r="CP344" s="13"/>
    </row>
    <row r="345" spans="90:94" ht="20.25" customHeight="1" x14ac:dyDescent="0.25">
      <c r="CL345" s="13"/>
      <c r="CM345" s="13"/>
      <c r="CN345" s="13"/>
      <c r="CO345" s="13"/>
      <c r="CP345" s="13"/>
    </row>
    <row r="346" spans="90:94" ht="20.25" customHeight="1" x14ac:dyDescent="0.25">
      <c r="CL346" s="13"/>
      <c r="CM346" s="13"/>
      <c r="CN346" s="13"/>
      <c r="CO346" s="13"/>
      <c r="CP346" s="13"/>
    </row>
    <row r="347" spans="90:94" ht="20.25" customHeight="1" x14ac:dyDescent="0.25">
      <c r="CL347" s="13"/>
      <c r="CM347" s="13"/>
      <c r="CN347" s="13"/>
      <c r="CO347" s="13"/>
      <c r="CP347" s="13"/>
    </row>
    <row r="348" spans="90:94" ht="20.25" customHeight="1" x14ac:dyDescent="0.25">
      <c r="CL348" s="13"/>
      <c r="CM348" s="13"/>
      <c r="CN348" s="13"/>
      <c r="CO348" s="13"/>
      <c r="CP348" s="13"/>
    </row>
    <row r="349" spans="90:94" ht="20.25" customHeight="1" x14ac:dyDescent="0.25">
      <c r="CL349" s="13"/>
      <c r="CM349" s="13"/>
      <c r="CN349" s="13"/>
      <c r="CO349" s="13"/>
      <c r="CP349" s="13"/>
    </row>
    <row r="350" spans="90:94" ht="20.25" customHeight="1" x14ac:dyDescent="0.25">
      <c r="CL350" s="13"/>
      <c r="CM350" s="13"/>
      <c r="CN350" s="13"/>
      <c r="CO350" s="13"/>
      <c r="CP350" s="13"/>
    </row>
    <row r="351" spans="90:94" ht="20.25" customHeight="1" x14ac:dyDescent="0.25">
      <c r="CL351" s="13"/>
      <c r="CM351" s="13"/>
      <c r="CN351" s="13"/>
      <c r="CO351" s="13"/>
      <c r="CP351" s="13"/>
    </row>
    <row r="352" spans="90:94" ht="20.25" customHeight="1" x14ac:dyDescent="0.25">
      <c r="CL352" s="13"/>
      <c r="CM352" s="13"/>
      <c r="CN352" s="13"/>
      <c r="CO352" s="13"/>
      <c r="CP352" s="13"/>
    </row>
    <row r="353" spans="90:94" ht="20.25" customHeight="1" x14ac:dyDescent="0.25">
      <c r="CL353" s="13"/>
      <c r="CM353" s="13"/>
      <c r="CN353" s="13"/>
      <c r="CO353" s="13"/>
      <c r="CP353" s="13"/>
    </row>
    <row r="354" spans="90:94" ht="20.25" customHeight="1" x14ac:dyDescent="0.25">
      <c r="CL354" s="13"/>
      <c r="CM354" s="13"/>
      <c r="CN354" s="13"/>
      <c r="CO354" s="13"/>
      <c r="CP354" s="13"/>
    </row>
    <row r="355" spans="90:94" ht="20.25" customHeight="1" x14ac:dyDescent="0.25">
      <c r="CL355" s="13"/>
      <c r="CM355" s="13"/>
      <c r="CN355" s="13"/>
      <c r="CO355" s="13"/>
      <c r="CP355" s="13"/>
    </row>
    <row r="356" spans="90:94" ht="20.25" customHeight="1" x14ac:dyDescent="0.25">
      <c r="CL356" s="13"/>
      <c r="CM356" s="13"/>
      <c r="CN356" s="13"/>
      <c r="CO356" s="13"/>
      <c r="CP356" s="13"/>
    </row>
    <row r="357" spans="90:94" ht="20.25" customHeight="1" x14ac:dyDescent="0.25">
      <c r="CL357" s="13"/>
      <c r="CM357" s="13"/>
      <c r="CN357" s="13"/>
      <c r="CO357" s="13"/>
      <c r="CP357" s="13"/>
    </row>
    <row r="358" spans="90:94" ht="20.25" customHeight="1" x14ac:dyDescent="0.25">
      <c r="CL358" s="13"/>
      <c r="CM358" s="13"/>
      <c r="CN358" s="13"/>
      <c r="CO358" s="13"/>
      <c r="CP358" s="13"/>
    </row>
    <row r="359" spans="90:94" ht="20.25" customHeight="1" x14ac:dyDescent="0.25">
      <c r="CL359" s="13"/>
      <c r="CM359" s="13"/>
      <c r="CN359" s="13"/>
      <c r="CO359" s="13"/>
      <c r="CP359" s="13"/>
    </row>
    <row r="360" spans="90:94" ht="20.25" customHeight="1" x14ac:dyDescent="0.25">
      <c r="CL360" s="13"/>
      <c r="CM360" s="13"/>
      <c r="CN360" s="13"/>
      <c r="CO360" s="13"/>
      <c r="CP360" s="13"/>
    </row>
    <row r="361" spans="90:94" ht="20.25" customHeight="1" x14ac:dyDescent="0.25">
      <c r="CL361" s="13"/>
      <c r="CM361" s="13"/>
      <c r="CN361" s="13"/>
      <c r="CO361" s="13"/>
      <c r="CP361" s="13"/>
    </row>
    <row r="362" spans="90:94" ht="20.25" customHeight="1" x14ac:dyDescent="0.25">
      <c r="CL362" s="13"/>
      <c r="CM362" s="13"/>
      <c r="CN362" s="13"/>
      <c r="CO362" s="13"/>
      <c r="CP362" s="13"/>
    </row>
    <row r="363" spans="90:94" ht="20.25" customHeight="1" x14ac:dyDescent="0.25">
      <c r="CL363" s="13"/>
      <c r="CM363" s="13"/>
      <c r="CN363" s="13"/>
      <c r="CO363" s="13"/>
      <c r="CP363" s="13"/>
    </row>
    <row r="364" spans="90:94" ht="20.25" customHeight="1" x14ac:dyDescent="0.25">
      <c r="CL364" s="13"/>
      <c r="CM364" s="13"/>
      <c r="CN364" s="13"/>
      <c r="CO364" s="13"/>
      <c r="CP364" s="13"/>
    </row>
    <row r="365" spans="90:94" ht="20.25" customHeight="1" x14ac:dyDescent="0.25">
      <c r="CL365" s="13"/>
      <c r="CM365" s="13"/>
      <c r="CN365" s="13"/>
      <c r="CO365" s="13"/>
      <c r="CP365" s="13"/>
    </row>
    <row r="366" spans="90:94" ht="20.25" customHeight="1" x14ac:dyDescent="0.25">
      <c r="CL366" s="13"/>
      <c r="CM366" s="13"/>
      <c r="CN366" s="13"/>
      <c r="CO366" s="13"/>
      <c r="CP366" s="13"/>
    </row>
    <row r="367" spans="90:94" ht="20.25" customHeight="1" x14ac:dyDescent="0.25">
      <c r="CL367" s="13"/>
      <c r="CM367" s="13"/>
      <c r="CN367" s="13"/>
      <c r="CO367" s="13"/>
      <c r="CP367" s="13"/>
    </row>
    <row r="368" spans="90:94" ht="20.25" customHeight="1" x14ac:dyDescent="0.25">
      <c r="CL368" s="13"/>
      <c r="CM368" s="13"/>
      <c r="CN368" s="13"/>
      <c r="CO368" s="13"/>
      <c r="CP368" s="13"/>
    </row>
    <row r="369" spans="90:94" ht="20.25" customHeight="1" x14ac:dyDescent="0.25">
      <c r="CL369" s="13"/>
      <c r="CM369" s="13"/>
      <c r="CN369" s="13"/>
      <c r="CO369" s="13"/>
      <c r="CP369" s="13"/>
    </row>
    <row r="370" spans="90:94" ht="20.25" customHeight="1" x14ac:dyDescent="0.25">
      <c r="CL370" s="13"/>
      <c r="CM370" s="13"/>
      <c r="CN370" s="13"/>
      <c r="CO370" s="13"/>
      <c r="CP370" s="13"/>
    </row>
    <row r="371" spans="90:94" ht="20.25" customHeight="1" x14ac:dyDescent="0.25">
      <c r="CL371" s="13"/>
      <c r="CM371" s="13"/>
      <c r="CN371" s="13"/>
      <c r="CO371" s="13"/>
      <c r="CP371" s="13"/>
    </row>
    <row r="372" spans="90:94" ht="20.25" customHeight="1" x14ac:dyDescent="0.25">
      <c r="CL372" s="13"/>
      <c r="CM372" s="13"/>
      <c r="CN372" s="13"/>
      <c r="CO372" s="13"/>
      <c r="CP372" s="13"/>
    </row>
    <row r="373" spans="90:94" ht="20.25" customHeight="1" x14ac:dyDescent="0.25">
      <c r="CL373" s="13"/>
      <c r="CM373" s="13"/>
      <c r="CN373" s="13"/>
      <c r="CO373" s="13"/>
      <c r="CP373" s="13"/>
    </row>
    <row r="374" spans="90:94" ht="20.25" customHeight="1" x14ac:dyDescent="0.25">
      <c r="CL374" s="13"/>
      <c r="CM374" s="13"/>
      <c r="CN374" s="13"/>
      <c r="CO374" s="13"/>
      <c r="CP374" s="13"/>
    </row>
    <row r="375" spans="90:94" ht="20.25" customHeight="1" x14ac:dyDescent="0.25">
      <c r="CL375" s="13"/>
      <c r="CM375" s="13"/>
      <c r="CN375" s="13"/>
      <c r="CO375" s="13"/>
      <c r="CP375" s="13"/>
    </row>
    <row r="376" spans="90:94" ht="20.25" customHeight="1" x14ac:dyDescent="0.25">
      <c r="CL376" s="13"/>
      <c r="CM376" s="13"/>
      <c r="CN376" s="13"/>
      <c r="CO376" s="13"/>
      <c r="CP376" s="13"/>
    </row>
    <row r="377" spans="90:94" ht="20.25" customHeight="1" x14ac:dyDescent="0.25">
      <c r="CL377" s="13"/>
      <c r="CM377" s="13"/>
      <c r="CN377" s="13"/>
      <c r="CO377" s="13"/>
      <c r="CP377" s="13"/>
    </row>
    <row r="378" spans="90:94" ht="20.25" customHeight="1" x14ac:dyDescent="0.25">
      <c r="CL378" s="13"/>
      <c r="CM378" s="13"/>
      <c r="CN378" s="13"/>
      <c r="CO378" s="13"/>
      <c r="CP378" s="13"/>
    </row>
    <row r="379" spans="90:94" ht="20.25" customHeight="1" x14ac:dyDescent="0.25">
      <c r="CL379" s="13"/>
      <c r="CM379" s="13"/>
      <c r="CN379" s="13"/>
      <c r="CO379" s="13"/>
      <c r="CP379" s="13"/>
    </row>
    <row r="380" spans="90:94" ht="20.25" customHeight="1" x14ac:dyDescent="0.25">
      <c r="CL380" s="13"/>
      <c r="CM380" s="13"/>
      <c r="CN380" s="13"/>
      <c r="CO380" s="13"/>
      <c r="CP380" s="13"/>
    </row>
    <row r="381" spans="90:94" ht="20.25" customHeight="1" x14ac:dyDescent="0.25">
      <c r="CL381" s="13"/>
      <c r="CM381" s="13"/>
      <c r="CN381" s="13"/>
      <c r="CO381" s="13"/>
      <c r="CP381" s="13"/>
    </row>
    <row r="382" spans="90:94" ht="20.25" customHeight="1" x14ac:dyDescent="0.25">
      <c r="CL382" s="13"/>
      <c r="CM382" s="13"/>
      <c r="CN382" s="13"/>
      <c r="CO382" s="13"/>
      <c r="CP382" s="13"/>
    </row>
    <row r="383" spans="90:94" ht="20.25" customHeight="1" x14ac:dyDescent="0.25">
      <c r="CL383" s="13"/>
      <c r="CM383" s="13"/>
      <c r="CN383" s="13"/>
      <c r="CO383" s="13"/>
      <c r="CP383" s="13"/>
    </row>
    <row r="384" spans="90:94" ht="20.25" customHeight="1" x14ac:dyDescent="0.25">
      <c r="CL384" s="13"/>
      <c r="CM384" s="13"/>
      <c r="CN384" s="13"/>
      <c r="CO384" s="13"/>
      <c r="CP384" s="13"/>
    </row>
    <row r="385" spans="90:94" ht="20.25" customHeight="1" x14ac:dyDescent="0.25">
      <c r="CL385" s="13"/>
      <c r="CM385" s="13"/>
      <c r="CN385" s="13"/>
      <c r="CO385" s="13"/>
      <c r="CP385" s="13"/>
    </row>
    <row r="386" spans="90:94" ht="20.25" customHeight="1" x14ac:dyDescent="0.25">
      <c r="CL386" s="13"/>
      <c r="CM386" s="13"/>
      <c r="CN386" s="13"/>
      <c r="CO386" s="13"/>
      <c r="CP386" s="13"/>
    </row>
    <row r="387" spans="90:94" ht="20.25" customHeight="1" x14ac:dyDescent="0.25">
      <c r="CL387" s="13"/>
      <c r="CM387" s="13"/>
      <c r="CN387" s="13"/>
      <c r="CO387" s="13"/>
      <c r="CP387" s="13"/>
    </row>
    <row r="388" spans="90:94" ht="20.25" customHeight="1" x14ac:dyDescent="0.25">
      <c r="CL388" s="13"/>
      <c r="CM388" s="13"/>
      <c r="CN388" s="13"/>
      <c r="CO388" s="13"/>
      <c r="CP388" s="13"/>
    </row>
    <row r="389" spans="90:94" ht="20.25" customHeight="1" x14ac:dyDescent="0.25">
      <c r="CL389" s="13"/>
      <c r="CM389" s="13"/>
      <c r="CN389" s="13"/>
      <c r="CO389" s="13"/>
      <c r="CP389" s="13"/>
    </row>
    <row r="390" spans="90:94" ht="20.25" customHeight="1" x14ac:dyDescent="0.25">
      <c r="CL390" s="13"/>
      <c r="CM390" s="13"/>
      <c r="CN390" s="13"/>
      <c r="CO390" s="13"/>
      <c r="CP390" s="13"/>
    </row>
    <row r="391" spans="90:94" ht="20.25" customHeight="1" x14ac:dyDescent="0.25">
      <c r="CL391" s="13"/>
      <c r="CM391" s="13"/>
      <c r="CN391" s="13"/>
      <c r="CO391" s="13"/>
      <c r="CP391" s="13"/>
    </row>
    <row r="392" spans="90:94" ht="20.25" customHeight="1" x14ac:dyDescent="0.25">
      <c r="CL392" s="13"/>
      <c r="CM392" s="13"/>
      <c r="CN392" s="13"/>
      <c r="CO392" s="13"/>
      <c r="CP392" s="13"/>
    </row>
    <row r="393" spans="90:94" ht="20.25" customHeight="1" x14ac:dyDescent="0.25">
      <c r="CL393" s="13"/>
      <c r="CM393" s="13"/>
      <c r="CN393" s="13"/>
      <c r="CO393" s="13"/>
      <c r="CP393" s="13"/>
    </row>
    <row r="394" spans="90:94" ht="20.25" customHeight="1" x14ac:dyDescent="0.25">
      <c r="CL394" s="13"/>
      <c r="CM394" s="13"/>
      <c r="CN394" s="13"/>
      <c r="CO394" s="13"/>
      <c r="CP394" s="13"/>
    </row>
    <row r="395" spans="90:94" ht="20.25" customHeight="1" x14ac:dyDescent="0.25">
      <c r="CL395" s="13"/>
      <c r="CM395" s="13"/>
      <c r="CN395" s="13"/>
      <c r="CO395" s="13"/>
      <c r="CP395" s="13"/>
    </row>
    <row r="396" spans="90:94" ht="20.25" customHeight="1" x14ac:dyDescent="0.25">
      <c r="CL396" s="13"/>
      <c r="CM396" s="13"/>
      <c r="CN396" s="13"/>
      <c r="CO396" s="13"/>
      <c r="CP396" s="13"/>
    </row>
    <row r="397" spans="90:94" ht="20.25" customHeight="1" x14ac:dyDescent="0.25">
      <c r="CL397" s="13"/>
      <c r="CM397" s="13"/>
      <c r="CN397" s="13"/>
      <c r="CO397" s="13"/>
      <c r="CP397" s="13"/>
    </row>
    <row r="398" spans="90:94" ht="20.25" customHeight="1" x14ac:dyDescent="0.25">
      <c r="CL398" s="13"/>
      <c r="CM398" s="13"/>
      <c r="CN398" s="13"/>
      <c r="CO398" s="13"/>
      <c r="CP398" s="13"/>
    </row>
    <row r="399" spans="90:94" ht="20.25" customHeight="1" x14ac:dyDescent="0.25">
      <c r="CL399" s="13"/>
      <c r="CM399" s="13"/>
      <c r="CN399" s="13"/>
      <c r="CO399" s="13"/>
      <c r="CP399" s="13"/>
    </row>
    <row r="400" spans="90:94" ht="20.25" customHeight="1" x14ac:dyDescent="0.25">
      <c r="CL400" s="13"/>
      <c r="CM400" s="13"/>
      <c r="CN400" s="13"/>
      <c r="CO400" s="13"/>
      <c r="CP400" s="13"/>
    </row>
    <row r="401" spans="90:94" ht="20.25" customHeight="1" x14ac:dyDescent="0.25">
      <c r="CL401" s="13"/>
      <c r="CM401" s="13"/>
      <c r="CN401" s="13"/>
      <c r="CO401" s="13"/>
      <c r="CP401" s="13"/>
    </row>
    <row r="402" spans="90:94" ht="20.25" customHeight="1" x14ac:dyDescent="0.25">
      <c r="CL402" s="13"/>
      <c r="CM402" s="13"/>
      <c r="CN402" s="13"/>
      <c r="CO402" s="13"/>
      <c r="CP402" s="13"/>
    </row>
    <row r="403" spans="90:94" ht="20.25" customHeight="1" x14ac:dyDescent="0.25">
      <c r="CL403" s="13"/>
      <c r="CM403" s="13"/>
      <c r="CN403" s="13"/>
      <c r="CO403" s="13"/>
      <c r="CP403" s="13"/>
    </row>
    <row r="404" spans="90:94" ht="20.25" customHeight="1" x14ac:dyDescent="0.25">
      <c r="CL404" s="13"/>
      <c r="CM404" s="13"/>
      <c r="CN404" s="13"/>
      <c r="CO404" s="13"/>
      <c r="CP404" s="13"/>
    </row>
    <row r="405" spans="90:94" ht="20.25" customHeight="1" x14ac:dyDescent="0.25">
      <c r="CL405" s="13"/>
      <c r="CM405" s="13"/>
      <c r="CN405" s="13"/>
      <c r="CO405" s="13"/>
      <c r="CP405" s="13"/>
    </row>
    <row r="406" spans="90:94" ht="20.25" customHeight="1" x14ac:dyDescent="0.25">
      <c r="CL406" s="13"/>
      <c r="CM406" s="13"/>
      <c r="CN406" s="13"/>
      <c r="CO406" s="13"/>
      <c r="CP406" s="13"/>
    </row>
    <row r="407" spans="90:94" ht="20.25" customHeight="1" x14ac:dyDescent="0.25">
      <c r="CL407" s="13"/>
      <c r="CM407" s="13"/>
      <c r="CN407" s="13"/>
      <c r="CO407" s="13"/>
      <c r="CP407" s="13"/>
    </row>
    <row r="408" spans="90:94" ht="20.25" customHeight="1" x14ac:dyDescent="0.25">
      <c r="CL408" s="13"/>
      <c r="CM408" s="13"/>
      <c r="CN408" s="13"/>
      <c r="CO408" s="13"/>
      <c r="CP408" s="13"/>
    </row>
    <row r="409" spans="90:94" ht="20.25" customHeight="1" x14ac:dyDescent="0.25">
      <c r="CL409" s="13"/>
      <c r="CM409" s="13"/>
      <c r="CN409" s="13"/>
      <c r="CO409" s="13"/>
      <c r="CP409" s="13"/>
    </row>
    <row r="410" spans="90:94" ht="20.25" customHeight="1" x14ac:dyDescent="0.25">
      <c r="CL410" s="13"/>
      <c r="CM410" s="13"/>
      <c r="CN410" s="13"/>
      <c r="CO410" s="13"/>
      <c r="CP410" s="13"/>
    </row>
    <row r="411" spans="90:94" ht="20.25" customHeight="1" x14ac:dyDescent="0.25">
      <c r="CL411" s="13"/>
      <c r="CM411" s="13"/>
      <c r="CN411" s="13"/>
      <c r="CO411" s="13"/>
      <c r="CP411" s="13"/>
    </row>
    <row r="412" spans="90:94" ht="20.25" customHeight="1" x14ac:dyDescent="0.25">
      <c r="CL412" s="13"/>
      <c r="CM412" s="13"/>
      <c r="CN412" s="13"/>
      <c r="CO412" s="13"/>
      <c r="CP412" s="13"/>
    </row>
    <row r="413" spans="90:94" ht="20.25" customHeight="1" x14ac:dyDescent="0.25">
      <c r="CL413" s="13"/>
      <c r="CM413" s="13"/>
      <c r="CN413" s="13"/>
      <c r="CO413" s="13"/>
      <c r="CP413" s="13"/>
    </row>
    <row r="414" spans="90:94" ht="20.25" customHeight="1" x14ac:dyDescent="0.25">
      <c r="CL414" s="13"/>
      <c r="CM414" s="13"/>
      <c r="CN414" s="13"/>
      <c r="CO414" s="13"/>
      <c r="CP414" s="13"/>
    </row>
    <row r="415" spans="90:94" ht="20.25" customHeight="1" x14ac:dyDescent="0.25">
      <c r="CL415" s="13"/>
      <c r="CM415" s="13"/>
      <c r="CN415" s="13"/>
      <c r="CO415" s="13"/>
      <c r="CP415" s="13"/>
    </row>
    <row r="416" spans="90:94" ht="20.25" customHeight="1" x14ac:dyDescent="0.25">
      <c r="CL416" s="13"/>
      <c r="CM416" s="13"/>
      <c r="CN416" s="13"/>
      <c r="CO416" s="13"/>
      <c r="CP416" s="13"/>
    </row>
    <row r="417" spans="90:94" ht="20.25" customHeight="1" x14ac:dyDescent="0.25">
      <c r="CL417" s="13"/>
      <c r="CM417" s="13"/>
      <c r="CN417" s="13"/>
      <c r="CO417" s="13"/>
      <c r="CP417" s="13"/>
    </row>
    <row r="418" spans="90:94" ht="20.25" customHeight="1" x14ac:dyDescent="0.25">
      <c r="CL418" s="13"/>
      <c r="CM418" s="13"/>
      <c r="CN418" s="13"/>
      <c r="CO418" s="13"/>
      <c r="CP418" s="13"/>
    </row>
    <row r="419" spans="90:94" ht="20.25" customHeight="1" x14ac:dyDescent="0.25">
      <c r="CL419" s="13"/>
      <c r="CM419" s="13"/>
      <c r="CN419" s="13"/>
      <c r="CO419" s="13"/>
      <c r="CP419" s="13"/>
    </row>
    <row r="420" spans="90:94" ht="20.25" customHeight="1" x14ac:dyDescent="0.25">
      <c r="CL420" s="13"/>
      <c r="CM420" s="13"/>
      <c r="CN420" s="13"/>
      <c r="CO420" s="13"/>
      <c r="CP420" s="13"/>
    </row>
    <row r="421" spans="90:94" ht="20.25" customHeight="1" x14ac:dyDescent="0.25">
      <c r="CL421" s="13"/>
      <c r="CM421" s="13"/>
      <c r="CN421" s="13"/>
      <c r="CO421" s="13"/>
      <c r="CP421" s="13"/>
    </row>
    <row r="422" spans="90:94" ht="20.25" customHeight="1" x14ac:dyDescent="0.25">
      <c r="CL422" s="13"/>
      <c r="CM422" s="13"/>
      <c r="CN422" s="13"/>
      <c r="CO422" s="13"/>
      <c r="CP422" s="13"/>
    </row>
    <row r="423" spans="90:94" ht="20.25" customHeight="1" x14ac:dyDescent="0.25">
      <c r="CL423" s="13"/>
      <c r="CM423" s="13"/>
      <c r="CN423" s="13"/>
      <c r="CO423" s="13"/>
      <c r="CP423" s="13"/>
    </row>
    <row r="424" spans="90:94" ht="20.25" customHeight="1" x14ac:dyDescent="0.25">
      <c r="CL424" s="13"/>
      <c r="CM424" s="13"/>
      <c r="CN424" s="13"/>
      <c r="CO424" s="13"/>
      <c r="CP424" s="13"/>
    </row>
    <row r="425" spans="90:94" ht="20.25" customHeight="1" x14ac:dyDescent="0.25">
      <c r="CL425" s="13"/>
      <c r="CM425" s="13"/>
      <c r="CN425" s="13"/>
      <c r="CO425" s="13"/>
      <c r="CP425" s="13"/>
    </row>
    <row r="426" spans="90:94" ht="20.25" customHeight="1" x14ac:dyDescent="0.25">
      <c r="CL426" s="13"/>
      <c r="CM426" s="13"/>
      <c r="CN426" s="13"/>
      <c r="CO426" s="13"/>
      <c r="CP426" s="13"/>
    </row>
    <row r="427" spans="90:94" ht="20.25" customHeight="1" x14ac:dyDescent="0.25">
      <c r="CL427" s="13"/>
      <c r="CM427" s="13"/>
      <c r="CN427" s="13"/>
      <c r="CO427" s="13"/>
      <c r="CP427" s="13"/>
    </row>
    <row r="428" spans="90:94" ht="20.25" customHeight="1" x14ac:dyDescent="0.25">
      <c r="CL428" s="13"/>
      <c r="CM428" s="13"/>
      <c r="CN428" s="13"/>
      <c r="CO428" s="13"/>
      <c r="CP428" s="13"/>
    </row>
    <row r="429" spans="90:94" ht="20.25" customHeight="1" x14ac:dyDescent="0.25">
      <c r="CL429" s="13"/>
      <c r="CM429" s="13"/>
      <c r="CN429" s="13"/>
      <c r="CO429" s="13"/>
      <c r="CP429" s="13"/>
    </row>
    <row r="430" spans="90:94" ht="20.25" customHeight="1" x14ac:dyDescent="0.25">
      <c r="CL430" s="13"/>
      <c r="CM430" s="13"/>
      <c r="CN430" s="13"/>
      <c r="CO430" s="13"/>
      <c r="CP430" s="13"/>
    </row>
    <row r="431" spans="90:94" ht="20.25" customHeight="1" x14ac:dyDescent="0.25">
      <c r="CL431" s="13"/>
      <c r="CM431" s="13"/>
      <c r="CN431" s="13"/>
      <c r="CO431" s="13"/>
      <c r="CP431" s="13"/>
    </row>
    <row r="432" spans="90:94" ht="20.25" customHeight="1" x14ac:dyDescent="0.25">
      <c r="CL432" s="13"/>
      <c r="CM432" s="13"/>
      <c r="CN432" s="13"/>
      <c r="CO432" s="13"/>
      <c r="CP432" s="13"/>
    </row>
    <row r="433" spans="90:94" ht="20.25" customHeight="1" x14ac:dyDescent="0.25">
      <c r="CL433" s="13"/>
      <c r="CM433" s="13"/>
      <c r="CN433" s="13"/>
      <c r="CO433" s="13"/>
      <c r="CP433" s="13"/>
    </row>
    <row r="434" spans="90:94" ht="20.25" customHeight="1" x14ac:dyDescent="0.25">
      <c r="CL434" s="13"/>
      <c r="CM434" s="13"/>
      <c r="CN434" s="13"/>
      <c r="CO434" s="13"/>
      <c r="CP434" s="13"/>
    </row>
    <row r="435" spans="90:94" ht="20.25" customHeight="1" x14ac:dyDescent="0.25">
      <c r="CL435" s="13"/>
      <c r="CM435" s="13"/>
      <c r="CN435" s="13"/>
      <c r="CO435" s="13"/>
      <c r="CP435" s="13"/>
    </row>
    <row r="436" spans="90:94" ht="20.25" customHeight="1" x14ac:dyDescent="0.25">
      <c r="CL436" s="13"/>
      <c r="CM436" s="13"/>
      <c r="CN436" s="13"/>
      <c r="CO436" s="13"/>
      <c r="CP436" s="13"/>
    </row>
    <row r="437" spans="90:94" ht="20.25" customHeight="1" x14ac:dyDescent="0.25">
      <c r="CL437" s="13"/>
      <c r="CM437" s="13"/>
      <c r="CN437" s="13"/>
      <c r="CO437" s="13"/>
      <c r="CP437" s="13"/>
    </row>
    <row r="438" spans="90:94" ht="20.25" customHeight="1" x14ac:dyDescent="0.25">
      <c r="CL438" s="13"/>
      <c r="CM438" s="13"/>
      <c r="CN438" s="13"/>
      <c r="CO438" s="13"/>
      <c r="CP438" s="13"/>
    </row>
    <row r="439" spans="90:94" ht="20.25" customHeight="1" x14ac:dyDescent="0.25">
      <c r="CL439" s="13"/>
      <c r="CM439" s="13"/>
      <c r="CN439" s="13"/>
      <c r="CO439" s="13"/>
      <c r="CP439" s="13"/>
    </row>
    <row r="440" spans="90:94" ht="20.25" customHeight="1" x14ac:dyDescent="0.25">
      <c r="CL440" s="13"/>
      <c r="CM440" s="13"/>
      <c r="CN440" s="13"/>
      <c r="CO440" s="13"/>
      <c r="CP440" s="13"/>
    </row>
    <row r="441" spans="90:94" ht="20.25" customHeight="1" x14ac:dyDescent="0.25">
      <c r="CL441" s="13"/>
      <c r="CM441" s="13"/>
      <c r="CN441" s="13"/>
      <c r="CO441" s="13"/>
      <c r="CP441" s="13"/>
    </row>
    <row r="442" spans="90:94" ht="20.25" customHeight="1" x14ac:dyDescent="0.25">
      <c r="CL442" s="13"/>
      <c r="CM442" s="13"/>
      <c r="CN442" s="13"/>
      <c r="CO442" s="13"/>
      <c r="CP442" s="13"/>
    </row>
    <row r="443" spans="90:94" ht="20.25" customHeight="1" x14ac:dyDescent="0.25">
      <c r="CL443" s="13"/>
      <c r="CM443" s="13"/>
      <c r="CN443" s="13"/>
      <c r="CO443" s="13"/>
      <c r="CP443" s="13"/>
    </row>
    <row r="444" spans="90:94" ht="20.25" customHeight="1" x14ac:dyDescent="0.25">
      <c r="CL444" s="13"/>
      <c r="CM444" s="13"/>
      <c r="CN444" s="13"/>
      <c r="CO444" s="13"/>
      <c r="CP444" s="13"/>
    </row>
    <row r="445" spans="90:94" ht="20.25" customHeight="1" x14ac:dyDescent="0.25">
      <c r="CL445" s="13"/>
      <c r="CM445" s="13"/>
      <c r="CN445" s="13"/>
      <c r="CO445" s="13"/>
      <c r="CP445" s="13"/>
    </row>
    <row r="446" spans="90:94" ht="20.25" customHeight="1" x14ac:dyDescent="0.25">
      <c r="CL446" s="13"/>
      <c r="CM446" s="13"/>
      <c r="CN446" s="13"/>
      <c r="CO446" s="13"/>
      <c r="CP446" s="13"/>
    </row>
    <row r="447" spans="90:94" ht="20.25" customHeight="1" x14ac:dyDescent="0.25">
      <c r="CL447" s="13"/>
      <c r="CM447" s="13"/>
      <c r="CN447" s="13"/>
      <c r="CO447" s="13"/>
      <c r="CP447" s="13"/>
    </row>
    <row r="448" spans="90:94" ht="20.25" customHeight="1" x14ac:dyDescent="0.25">
      <c r="CL448" s="13"/>
      <c r="CM448" s="13"/>
      <c r="CN448" s="13"/>
      <c r="CO448" s="13"/>
      <c r="CP448" s="13"/>
    </row>
    <row r="449" spans="90:94" ht="20.25" customHeight="1" x14ac:dyDescent="0.25">
      <c r="CL449" s="13"/>
      <c r="CM449" s="13"/>
      <c r="CN449" s="13"/>
      <c r="CO449" s="13"/>
      <c r="CP449" s="13"/>
    </row>
    <row r="450" spans="90:94" ht="20.25" customHeight="1" x14ac:dyDescent="0.25">
      <c r="CL450" s="13"/>
      <c r="CM450" s="13"/>
      <c r="CN450" s="13"/>
      <c r="CO450" s="13"/>
      <c r="CP450" s="13"/>
    </row>
    <row r="451" spans="90:94" ht="20.25" customHeight="1" x14ac:dyDescent="0.25">
      <c r="CL451" s="13"/>
      <c r="CM451" s="13"/>
      <c r="CN451" s="13"/>
      <c r="CO451" s="13"/>
      <c r="CP451" s="13"/>
    </row>
    <row r="452" spans="90:94" ht="20.25" customHeight="1" x14ac:dyDescent="0.25">
      <c r="CL452" s="13"/>
      <c r="CM452" s="13"/>
      <c r="CN452" s="13"/>
      <c r="CO452" s="13"/>
      <c r="CP452" s="13"/>
    </row>
    <row r="453" spans="90:94" ht="20.25" customHeight="1" x14ac:dyDescent="0.25">
      <c r="CL453" s="13"/>
      <c r="CM453" s="13"/>
      <c r="CN453" s="13"/>
      <c r="CO453" s="13"/>
      <c r="CP453" s="13"/>
    </row>
    <row r="454" spans="90:94" ht="20.25" customHeight="1" x14ac:dyDescent="0.25">
      <c r="CL454" s="13"/>
      <c r="CM454" s="13"/>
      <c r="CN454" s="13"/>
      <c r="CO454" s="13"/>
      <c r="CP454" s="13"/>
    </row>
    <row r="455" spans="90:94" ht="20.25" customHeight="1" x14ac:dyDescent="0.25">
      <c r="CL455" s="13"/>
      <c r="CM455" s="13"/>
      <c r="CN455" s="13"/>
      <c r="CO455" s="13"/>
      <c r="CP455" s="13"/>
    </row>
    <row r="456" spans="90:94" ht="20.25" customHeight="1" x14ac:dyDescent="0.25">
      <c r="CL456" s="13"/>
      <c r="CM456" s="13"/>
      <c r="CN456" s="13"/>
      <c r="CO456" s="13"/>
      <c r="CP456" s="13"/>
    </row>
    <row r="457" spans="90:94" ht="20.25" customHeight="1" x14ac:dyDescent="0.25">
      <c r="CL457" s="13"/>
      <c r="CM457" s="13"/>
      <c r="CN457" s="13"/>
      <c r="CO457" s="13"/>
      <c r="CP457" s="13"/>
    </row>
    <row r="458" spans="90:94" ht="20.25" customHeight="1" x14ac:dyDescent="0.25">
      <c r="CL458" s="13"/>
      <c r="CM458" s="13"/>
      <c r="CN458" s="13"/>
      <c r="CO458" s="13"/>
      <c r="CP458" s="13"/>
    </row>
    <row r="459" spans="90:94" ht="20.25" customHeight="1" x14ac:dyDescent="0.25">
      <c r="CL459" s="13"/>
      <c r="CM459" s="13"/>
      <c r="CN459" s="13"/>
      <c r="CO459" s="13"/>
      <c r="CP459" s="13"/>
    </row>
    <row r="460" spans="90:94" ht="20.25" customHeight="1" x14ac:dyDescent="0.25">
      <c r="CL460" s="13"/>
      <c r="CM460" s="13"/>
      <c r="CN460" s="13"/>
      <c r="CO460" s="13"/>
      <c r="CP460" s="13"/>
    </row>
    <row r="461" spans="90:94" ht="20.25" customHeight="1" x14ac:dyDescent="0.25">
      <c r="CL461" s="13"/>
      <c r="CM461" s="13"/>
      <c r="CN461" s="13"/>
      <c r="CO461" s="13"/>
      <c r="CP461" s="13"/>
    </row>
    <row r="462" spans="90:94" ht="20.25" customHeight="1" x14ac:dyDescent="0.25">
      <c r="CL462" s="13"/>
      <c r="CM462" s="13"/>
      <c r="CN462" s="13"/>
      <c r="CO462" s="13"/>
      <c r="CP462" s="13"/>
    </row>
    <row r="463" spans="90:94" ht="20.25" customHeight="1" x14ac:dyDescent="0.25">
      <c r="CL463" s="13"/>
      <c r="CM463" s="13"/>
      <c r="CN463" s="13"/>
      <c r="CO463" s="13"/>
      <c r="CP463" s="13"/>
    </row>
    <row r="464" spans="90:94" ht="20.25" customHeight="1" x14ac:dyDescent="0.25">
      <c r="CL464" s="13"/>
      <c r="CM464" s="13"/>
      <c r="CN464" s="13"/>
      <c r="CO464" s="13"/>
      <c r="CP464" s="13"/>
    </row>
    <row r="465" spans="90:94" ht="20.25" customHeight="1" x14ac:dyDescent="0.25">
      <c r="CL465" s="13"/>
      <c r="CM465" s="13"/>
      <c r="CN465" s="13"/>
      <c r="CO465" s="13"/>
      <c r="CP465" s="13"/>
    </row>
    <row r="466" spans="90:94" ht="20.25" customHeight="1" x14ac:dyDescent="0.25">
      <c r="CL466" s="13"/>
      <c r="CM466" s="13"/>
      <c r="CN466" s="13"/>
      <c r="CO466" s="13"/>
      <c r="CP466" s="13"/>
    </row>
    <row r="467" spans="90:94" ht="20.25" customHeight="1" x14ac:dyDescent="0.25">
      <c r="CL467" s="13"/>
      <c r="CM467" s="13"/>
      <c r="CN467" s="13"/>
      <c r="CO467" s="13"/>
      <c r="CP467" s="13"/>
    </row>
    <row r="468" spans="90:94" ht="20.25" customHeight="1" x14ac:dyDescent="0.25">
      <c r="CL468" s="13"/>
      <c r="CM468" s="13"/>
      <c r="CN468" s="13"/>
      <c r="CO468" s="13"/>
      <c r="CP468" s="13"/>
    </row>
    <row r="469" spans="90:94" ht="20.25" customHeight="1" x14ac:dyDescent="0.25">
      <c r="CL469" s="13"/>
      <c r="CM469" s="13"/>
      <c r="CN469" s="13"/>
      <c r="CO469" s="13"/>
      <c r="CP469" s="13"/>
    </row>
    <row r="470" spans="90:94" ht="20.25" customHeight="1" x14ac:dyDescent="0.25">
      <c r="CL470" s="13"/>
      <c r="CM470" s="13"/>
      <c r="CN470" s="13"/>
      <c r="CO470" s="13"/>
      <c r="CP470" s="13"/>
    </row>
    <row r="471" spans="90:94" ht="20.25" customHeight="1" x14ac:dyDescent="0.25">
      <c r="CL471" s="13"/>
      <c r="CM471" s="13"/>
      <c r="CN471" s="13"/>
      <c r="CO471" s="13"/>
      <c r="CP471" s="13"/>
    </row>
    <row r="472" spans="90:94" ht="20.25" customHeight="1" x14ac:dyDescent="0.25">
      <c r="CL472" s="13"/>
      <c r="CM472" s="13"/>
      <c r="CN472" s="13"/>
      <c r="CO472" s="13"/>
      <c r="CP472" s="13"/>
    </row>
    <row r="473" spans="90:94" ht="20.25" customHeight="1" x14ac:dyDescent="0.25">
      <c r="CL473" s="13"/>
      <c r="CM473" s="13"/>
      <c r="CN473" s="13"/>
      <c r="CO473" s="13"/>
      <c r="CP473" s="13"/>
    </row>
    <row r="474" spans="90:94" ht="20.25" customHeight="1" x14ac:dyDescent="0.25">
      <c r="CL474" s="13"/>
      <c r="CM474" s="13"/>
      <c r="CN474" s="13"/>
      <c r="CO474" s="13"/>
      <c r="CP474" s="13"/>
    </row>
    <row r="475" spans="90:94" ht="20.25" customHeight="1" x14ac:dyDescent="0.25">
      <c r="CL475" s="13"/>
      <c r="CM475" s="13"/>
      <c r="CN475" s="13"/>
      <c r="CO475" s="13"/>
      <c r="CP475" s="13"/>
    </row>
    <row r="476" spans="90:94" ht="20.25" customHeight="1" x14ac:dyDescent="0.25">
      <c r="CL476" s="13"/>
      <c r="CM476" s="13"/>
      <c r="CN476" s="13"/>
      <c r="CO476" s="13"/>
      <c r="CP476" s="13"/>
    </row>
    <row r="477" spans="90:94" ht="20.25" customHeight="1" x14ac:dyDescent="0.25">
      <c r="CL477" s="13"/>
      <c r="CM477" s="13"/>
      <c r="CN477" s="13"/>
      <c r="CO477" s="13"/>
      <c r="CP477" s="13"/>
    </row>
    <row r="478" spans="90:94" ht="20.25" customHeight="1" x14ac:dyDescent="0.25">
      <c r="CL478" s="13"/>
      <c r="CM478" s="13"/>
      <c r="CN478" s="13"/>
      <c r="CO478" s="13"/>
      <c r="CP478" s="13"/>
    </row>
    <row r="479" spans="90:94" ht="20.25" customHeight="1" x14ac:dyDescent="0.25">
      <c r="CL479" s="13"/>
      <c r="CM479" s="13"/>
      <c r="CN479" s="13"/>
      <c r="CO479" s="13"/>
      <c r="CP479" s="13"/>
    </row>
    <row r="480" spans="90:94" ht="20.25" customHeight="1" x14ac:dyDescent="0.25">
      <c r="CL480" s="13"/>
      <c r="CM480" s="13"/>
      <c r="CN480" s="13"/>
      <c r="CO480" s="13"/>
      <c r="CP480" s="13"/>
    </row>
    <row r="481" spans="90:94" ht="20.25" customHeight="1" x14ac:dyDescent="0.25">
      <c r="CL481" s="13"/>
      <c r="CM481" s="13"/>
      <c r="CN481" s="13"/>
      <c r="CO481" s="13"/>
      <c r="CP481" s="13"/>
    </row>
    <row r="482" spans="90:94" ht="20.25" customHeight="1" x14ac:dyDescent="0.25">
      <c r="CL482" s="13"/>
      <c r="CM482" s="13"/>
      <c r="CN482" s="13"/>
      <c r="CO482" s="13"/>
      <c r="CP482" s="13"/>
    </row>
    <row r="483" spans="90:94" ht="20.25" customHeight="1" x14ac:dyDescent="0.25">
      <c r="CL483" s="13"/>
      <c r="CM483" s="13"/>
      <c r="CN483" s="13"/>
      <c r="CO483" s="13"/>
      <c r="CP483" s="13"/>
    </row>
    <row r="484" spans="90:94" ht="20.25" customHeight="1" x14ac:dyDescent="0.25">
      <c r="CL484" s="13"/>
      <c r="CM484" s="13"/>
      <c r="CN484" s="13"/>
      <c r="CO484" s="13"/>
      <c r="CP484" s="13"/>
    </row>
    <row r="485" spans="90:94" ht="20.25" customHeight="1" x14ac:dyDescent="0.25">
      <c r="CL485" s="13"/>
      <c r="CM485" s="13"/>
      <c r="CN485" s="13"/>
      <c r="CO485" s="13"/>
      <c r="CP485" s="13"/>
    </row>
    <row r="486" spans="90:94" ht="20.25" customHeight="1" x14ac:dyDescent="0.25">
      <c r="CL486" s="13"/>
      <c r="CM486" s="13"/>
      <c r="CN486" s="13"/>
      <c r="CO486" s="13"/>
      <c r="CP486" s="13"/>
    </row>
    <row r="487" spans="90:94" ht="20.25" customHeight="1" x14ac:dyDescent="0.25">
      <c r="CL487" s="13"/>
      <c r="CM487" s="13"/>
      <c r="CN487" s="13"/>
      <c r="CO487" s="13"/>
      <c r="CP487" s="13"/>
    </row>
    <row r="488" spans="90:94" ht="20.25" customHeight="1" x14ac:dyDescent="0.25">
      <c r="CL488" s="13"/>
      <c r="CM488" s="13"/>
      <c r="CN488" s="13"/>
      <c r="CO488" s="13"/>
      <c r="CP488" s="13"/>
    </row>
    <row r="489" spans="90:94" ht="20.25" customHeight="1" x14ac:dyDescent="0.25">
      <c r="CL489" s="13"/>
      <c r="CM489" s="13"/>
      <c r="CN489" s="13"/>
      <c r="CO489" s="13"/>
      <c r="CP489" s="13"/>
    </row>
    <row r="490" spans="90:94" ht="20.25" customHeight="1" x14ac:dyDescent="0.25">
      <c r="CL490" s="13"/>
      <c r="CM490" s="13"/>
      <c r="CN490" s="13"/>
      <c r="CO490" s="13"/>
      <c r="CP490" s="13"/>
    </row>
    <row r="491" spans="90:94" ht="20.25" customHeight="1" x14ac:dyDescent="0.25">
      <c r="CL491" s="13"/>
      <c r="CM491" s="13"/>
      <c r="CN491" s="13"/>
      <c r="CO491" s="13"/>
      <c r="CP491" s="13"/>
    </row>
    <row r="492" spans="90:94" ht="20.25" customHeight="1" x14ac:dyDescent="0.25">
      <c r="CL492" s="13"/>
      <c r="CM492" s="13"/>
      <c r="CN492" s="13"/>
      <c r="CO492" s="13"/>
      <c r="CP492" s="13"/>
    </row>
    <row r="493" spans="90:94" ht="20.25" customHeight="1" x14ac:dyDescent="0.25">
      <c r="CL493" s="13"/>
      <c r="CM493" s="13"/>
      <c r="CN493" s="13"/>
      <c r="CO493" s="13"/>
      <c r="CP493" s="13"/>
    </row>
    <row r="494" spans="90:94" ht="20.25" customHeight="1" x14ac:dyDescent="0.25">
      <c r="CL494" s="13"/>
      <c r="CM494" s="13"/>
      <c r="CN494" s="13"/>
      <c r="CO494" s="13"/>
      <c r="CP494" s="13"/>
    </row>
    <row r="495" spans="90:94" ht="20.25" customHeight="1" x14ac:dyDescent="0.25">
      <c r="CL495" s="13"/>
      <c r="CM495" s="13"/>
      <c r="CN495" s="13"/>
      <c r="CO495" s="13"/>
      <c r="CP495" s="13"/>
    </row>
    <row r="496" spans="90:94" ht="20.25" customHeight="1" x14ac:dyDescent="0.25">
      <c r="CL496" s="13"/>
      <c r="CM496" s="13"/>
      <c r="CN496" s="13"/>
      <c r="CO496" s="13"/>
      <c r="CP496" s="13"/>
    </row>
    <row r="497" spans="90:94" ht="20.25" customHeight="1" x14ac:dyDescent="0.25">
      <c r="CL497" s="13"/>
      <c r="CM497" s="13"/>
      <c r="CN497" s="13"/>
      <c r="CO497" s="13"/>
      <c r="CP497" s="13"/>
    </row>
    <row r="498" spans="90:94" ht="20.25" customHeight="1" x14ac:dyDescent="0.25">
      <c r="CL498" s="13"/>
      <c r="CM498" s="13"/>
      <c r="CN498" s="13"/>
      <c r="CO498" s="13"/>
      <c r="CP498" s="13"/>
    </row>
    <row r="499" spans="90:94" ht="20.25" customHeight="1" x14ac:dyDescent="0.25">
      <c r="CL499" s="13"/>
      <c r="CM499" s="13"/>
      <c r="CN499" s="13"/>
      <c r="CO499" s="13"/>
      <c r="CP499" s="13"/>
    </row>
    <row r="500" spans="90:94" ht="20.25" customHeight="1" x14ac:dyDescent="0.25">
      <c r="CL500" s="13"/>
      <c r="CM500" s="13"/>
      <c r="CN500" s="13"/>
      <c r="CO500" s="13"/>
      <c r="CP500" s="13"/>
    </row>
    <row r="501" spans="90:94" ht="20.25" customHeight="1" x14ac:dyDescent="0.25">
      <c r="CL501" s="13"/>
      <c r="CM501" s="13"/>
      <c r="CN501" s="13"/>
      <c r="CO501" s="13"/>
      <c r="CP501" s="13"/>
    </row>
    <row r="502" spans="90:94" ht="20.25" customHeight="1" x14ac:dyDescent="0.25">
      <c r="CL502" s="13"/>
      <c r="CM502" s="13"/>
      <c r="CN502" s="13"/>
      <c r="CO502" s="13"/>
      <c r="CP502" s="13"/>
    </row>
    <row r="503" spans="90:94" ht="20.25" customHeight="1" x14ac:dyDescent="0.25">
      <c r="CL503" s="13"/>
      <c r="CM503" s="13"/>
      <c r="CN503" s="13"/>
      <c r="CO503" s="13"/>
      <c r="CP503" s="13"/>
    </row>
    <row r="504" spans="90:94" ht="20.25" customHeight="1" x14ac:dyDescent="0.25">
      <c r="CL504" s="13"/>
      <c r="CM504" s="13"/>
      <c r="CN504" s="13"/>
      <c r="CO504" s="13"/>
      <c r="CP504" s="13"/>
    </row>
    <row r="505" spans="90:94" ht="20.25" customHeight="1" x14ac:dyDescent="0.25">
      <c r="CL505" s="13"/>
      <c r="CM505" s="13"/>
      <c r="CN505" s="13"/>
      <c r="CO505" s="13"/>
      <c r="CP505" s="13"/>
    </row>
    <row r="506" spans="90:94" ht="20.25" customHeight="1" x14ac:dyDescent="0.25">
      <c r="CL506" s="13"/>
      <c r="CM506" s="13"/>
      <c r="CN506" s="13"/>
      <c r="CO506" s="13"/>
      <c r="CP506" s="13"/>
    </row>
    <row r="507" spans="90:94" ht="20.25" customHeight="1" x14ac:dyDescent="0.25">
      <c r="CL507" s="13"/>
      <c r="CM507" s="13"/>
      <c r="CN507" s="13"/>
      <c r="CO507" s="13"/>
      <c r="CP507" s="13"/>
    </row>
    <row r="508" spans="90:94" ht="20.25" customHeight="1" x14ac:dyDescent="0.25">
      <c r="CL508" s="13"/>
      <c r="CM508" s="13"/>
      <c r="CN508" s="13"/>
      <c r="CO508" s="13"/>
      <c r="CP508" s="13"/>
    </row>
    <row r="509" spans="90:94" ht="20.25" customHeight="1" x14ac:dyDescent="0.25">
      <c r="CL509" s="13"/>
      <c r="CM509" s="13"/>
      <c r="CN509" s="13"/>
      <c r="CO509" s="13"/>
      <c r="CP509" s="13"/>
    </row>
    <row r="510" spans="90:94" ht="20.25" customHeight="1" x14ac:dyDescent="0.25">
      <c r="CL510" s="13"/>
      <c r="CM510" s="13"/>
      <c r="CN510" s="13"/>
      <c r="CO510" s="13"/>
      <c r="CP510" s="13"/>
    </row>
    <row r="511" spans="90:94" ht="20.25" customHeight="1" x14ac:dyDescent="0.25">
      <c r="CL511" s="13"/>
      <c r="CM511" s="13"/>
      <c r="CN511" s="13"/>
      <c r="CO511" s="13"/>
      <c r="CP511" s="13"/>
    </row>
    <row r="512" spans="90:94" ht="20.25" customHeight="1" x14ac:dyDescent="0.25">
      <c r="CL512" s="13"/>
      <c r="CM512" s="13"/>
      <c r="CN512" s="13"/>
      <c r="CO512" s="13"/>
      <c r="CP512" s="13"/>
    </row>
    <row r="513" spans="90:94" ht="20.25" customHeight="1" x14ac:dyDescent="0.25">
      <c r="CL513" s="13"/>
      <c r="CM513" s="13"/>
      <c r="CN513" s="13"/>
      <c r="CO513" s="13"/>
      <c r="CP513" s="13"/>
    </row>
    <row r="514" spans="90:94" ht="20.25" customHeight="1" x14ac:dyDescent="0.25">
      <c r="CL514" s="13"/>
      <c r="CM514" s="13"/>
      <c r="CN514" s="13"/>
      <c r="CO514" s="13"/>
      <c r="CP514" s="13"/>
    </row>
    <row r="515" spans="90:94" ht="20.25" customHeight="1" x14ac:dyDescent="0.25">
      <c r="CL515" s="13"/>
      <c r="CM515" s="13"/>
      <c r="CN515" s="13"/>
      <c r="CO515" s="13"/>
      <c r="CP515" s="13"/>
    </row>
    <row r="516" spans="90:94" ht="20.25" customHeight="1" x14ac:dyDescent="0.25">
      <c r="CL516" s="13"/>
      <c r="CM516" s="13"/>
      <c r="CN516" s="13"/>
      <c r="CO516" s="13"/>
      <c r="CP516" s="13"/>
    </row>
    <row r="517" spans="90:94" ht="20.25" customHeight="1" x14ac:dyDescent="0.25">
      <c r="CL517" s="13"/>
      <c r="CM517" s="13"/>
      <c r="CN517" s="13"/>
      <c r="CO517" s="13"/>
      <c r="CP517" s="13"/>
    </row>
    <row r="518" spans="90:94" ht="20.25" customHeight="1" x14ac:dyDescent="0.25">
      <c r="CL518" s="13"/>
      <c r="CM518" s="13"/>
      <c r="CN518" s="13"/>
      <c r="CO518" s="13"/>
      <c r="CP518" s="13"/>
    </row>
    <row r="519" spans="90:94" ht="20.25" customHeight="1" x14ac:dyDescent="0.25">
      <c r="CL519" s="13"/>
      <c r="CM519" s="13"/>
      <c r="CN519" s="13"/>
      <c r="CO519" s="13"/>
      <c r="CP519" s="13"/>
    </row>
    <row r="520" spans="90:94" ht="20.25" customHeight="1" x14ac:dyDescent="0.25">
      <c r="CL520" s="13"/>
      <c r="CM520" s="13"/>
      <c r="CN520" s="13"/>
      <c r="CO520" s="13"/>
      <c r="CP520" s="13"/>
    </row>
    <row r="521" spans="90:94" ht="20.25" customHeight="1" x14ac:dyDescent="0.25">
      <c r="CL521" s="13"/>
      <c r="CM521" s="13"/>
      <c r="CN521" s="13"/>
      <c r="CO521" s="13"/>
      <c r="CP521" s="13"/>
    </row>
    <row r="522" spans="90:94" ht="20.25" customHeight="1" x14ac:dyDescent="0.25">
      <c r="CL522" s="13"/>
      <c r="CM522" s="13"/>
      <c r="CN522" s="13"/>
      <c r="CO522" s="13"/>
      <c r="CP522" s="13"/>
    </row>
    <row r="523" spans="90:94" ht="20.25" customHeight="1" x14ac:dyDescent="0.25">
      <c r="CL523" s="13"/>
      <c r="CM523" s="13"/>
      <c r="CN523" s="13"/>
      <c r="CO523" s="13"/>
      <c r="CP523" s="13"/>
    </row>
    <row r="524" spans="90:94" ht="20.25" customHeight="1" x14ac:dyDescent="0.25">
      <c r="CL524" s="13"/>
      <c r="CM524" s="13"/>
      <c r="CN524" s="13"/>
      <c r="CO524" s="13"/>
      <c r="CP524" s="13"/>
    </row>
    <row r="525" spans="90:94" ht="20.25" customHeight="1" x14ac:dyDescent="0.25">
      <c r="CL525" s="13"/>
      <c r="CM525" s="13"/>
      <c r="CN525" s="13"/>
      <c r="CO525" s="13"/>
      <c r="CP525" s="13"/>
    </row>
    <row r="526" spans="90:94" ht="20.25" customHeight="1" x14ac:dyDescent="0.25">
      <c r="CL526" s="13"/>
      <c r="CM526" s="13"/>
      <c r="CN526" s="13"/>
      <c r="CO526" s="13"/>
      <c r="CP526" s="13"/>
    </row>
    <row r="527" spans="90:94" ht="20.25" customHeight="1" x14ac:dyDescent="0.25">
      <c r="CL527" s="13"/>
      <c r="CM527" s="13"/>
      <c r="CN527" s="13"/>
      <c r="CO527" s="13"/>
      <c r="CP527" s="13"/>
    </row>
    <row r="528" spans="90:94" ht="20.25" customHeight="1" x14ac:dyDescent="0.25">
      <c r="CL528" s="13"/>
      <c r="CM528" s="13"/>
      <c r="CN528" s="13"/>
      <c r="CO528" s="13"/>
      <c r="CP528" s="13"/>
    </row>
    <row r="529" spans="90:94" ht="20.25" customHeight="1" x14ac:dyDescent="0.25">
      <c r="CL529" s="13"/>
      <c r="CM529" s="13"/>
      <c r="CN529" s="13"/>
      <c r="CO529" s="13"/>
      <c r="CP529" s="13"/>
    </row>
    <row r="530" spans="90:94" ht="20.25" customHeight="1" x14ac:dyDescent="0.25">
      <c r="CL530" s="13"/>
      <c r="CM530" s="13"/>
      <c r="CN530" s="13"/>
      <c r="CO530" s="13"/>
      <c r="CP530" s="13"/>
    </row>
    <row r="531" spans="90:94" ht="20.25" customHeight="1" x14ac:dyDescent="0.25">
      <c r="CL531" s="13"/>
      <c r="CM531" s="13"/>
      <c r="CN531" s="13"/>
      <c r="CO531" s="13"/>
      <c r="CP531" s="13"/>
    </row>
    <row r="532" spans="90:94" ht="20.25" customHeight="1" x14ac:dyDescent="0.25">
      <c r="CL532" s="13"/>
      <c r="CM532" s="13"/>
      <c r="CN532" s="13"/>
      <c r="CO532" s="13"/>
      <c r="CP532" s="13"/>
    </row>
    <row r="533" spans="90:94" ht="20.25" customHeight="1" x14ac:dyDescent="0.25">
      <c r="CL533" s="13"/>
      <c r="CM533" s="13"/>
      <c r="CN533" s="13"/>
      <c r="CO533" s="13"/>
      <c r="CP533" s="13"/>
    </row>
    <row r="534" spans="90:94" ht="20.25" customHeight="1" x14ac:dyDescent="0.25">
      <c r="CL534" s="13"/>
      <c r="CM534" s="13"/>
      <c r="CN534" s="13"/>
      <c r="CO534" s="13"/>
      <c r="CP534" s="13"/>
    </row>
    <row r="535" spans="90:94" ht="20.25" customHeight="1" x14ac:dyDescent="0.25">
      <c r="CL535" s="13"/>
      <c r="CM535" s="13"/>
      <c r="CN535" s="13"/>
      <c r="CO535" s="13"/>
      <c r="CP535" s="13"/>
    </row>
    <row r="536" spans="90:94" ht="20.25" customHeight="1" x14ac:dyDescent="0.25">
      <c r="CL536" s="13"/>
      <c r="CM536" s="13"/>
      <c r="CN536" s="13"/>
      <c r="CO536" s="13"/>
      <c r="CP536" s="13"/>
    </row>
    <row r="537" spans="90:94" ht="20.25" customHeight="1" x14ac:dyDescent="0.25">
      <c r="CL537" s="13"/>
      <c r="CM537" s="13"/>
      <c r="CN537" s="13"/>
      <c r="CO537" s="13"/>
      <c r="CP537" s="13"/>
    </row>
    <row r="538" spans="90:94" ht="20.25" customHeight="1" x14ac:dyDescent="0.25">
      <c r="CL538" s="13"/>
      <c r="CM538" s="13"/>
      <c r="CN538" s="13"/>
      <c r="CO538" s="13"/>
      <c r="CP538" s="13"/>
    </row>
    <row r="539" spans="90:94" ht="20.25" customHeight="1" x14ac:dyDescent="0.25">
      <c r="CL539" s="13"/>
      <c r="CM539" s="13"/>
      <c r="CN539" s="13"/>
      <c r="CO539" s="13"/>
      <c r="CP539" s="13"/>
    </row>
    <row r="540" spans="90:94" ht="20.25" customHeight="1" x14ac:dyDescent="0.25">
      <c r="CL540" s="13"/>
      <c r="CM540" s="13"/>
      <c r="CN540" s="13"/>
      <c r="CO540" s="13"/>
      <c r="CP540" s="13"/>
    </row>
    <row r="541" spans="90:94" ht="20.25" customHeight="1" x14ac:dyDescent="0.25">
      <c r="CL541" s="13"/>
      <c r="CM541" s="13"/>
      <c r="CN541" s="13"/>
      <c r="CO541" s="13"/>
      <c r="CP541" s="13"/>
    </row>
    <row r="542" spans="90:94" ht="20.25" customHeight="1" x14ac:dyDescent="0.25">
      <c r="CL542" s="13"/>
      <c r="CM542" s="13"/>
      <c r="CN542" s="13"/>
      <c r="CO542" s="13"/>
      <c r="CP542" s="13"/>
    </row>
    <row r="543" spans="90:94" ht="20.25" customHeight="1" x14ac:dyDescent="0.25">
      <c r="CL543" s="13"/>
      <c r="CM543" s="13"/>
      <c r="CN543" s="13"/>
      <c r="CO543" s="13"/>
      <c r="CP543" s="13"/>
    </row>
    <row r="544" spans="90:94" ht="20.25" customHeight="1" x14ac:dyDescent="0.25">
      <c r="CL544" s="13"/>
      <c r="CM544" s="13"/>
      <c r="CN544" s="13"/>
      <c r="CO544" s="13"/>
      <c r="CP544" s="13"/>
    </row>
    <row r="545" spans="90:94" ht="20.25" customHeight="1" x14ac:dyDescent="0.25">
      <c r="CL545" s="13"/>
      <c r="CM545" s="13"/>
      <c r="CN545" s="13"/>
      <c r="CO545" s="13"/>
      <c r="CP545" s="13"/>
    </row>
    <row r="546" spans="90:94" ht="20.25" customHeight="1" x14ac:dyDescent="0.25">
      <c r="CL546" s="13"/>
      <c r="CM546" s="13"/>
      <c r="CN546" s="13"/>
      <c r="CO546" s="13"/>
      <c r="CP546" s="13"/>
    </row>
    <row r="547" spans="90:94" ht="20.25" customHeight="1" x14ac:dyDescent="0.25">
      <c r="CL547" s="13"/>
      <c r="CM547" s="13"/>
      <c r="CN547" s="13"/>
      <c r="CO547" s="13"/>
      <c r="CP547" s="13"/>
    </row>
    <row r="548" spans="90:94" ht="20.25" customHeight="1" x14ac:dyDescent="0.25">
      <c r="CL548" s="13"/>
      <c r="CM548" s="13"/>
      <c r="CN548" s="13"/>
      <c r="CO548" s="13"/>
      <c r="CP548" s="13"/>
    </row>
    <row r="549" spans="90:94" ht="20.25" customHeight="1" x14ac:dyDescent="0.25">
      <c r="CL549" s="13"/>
      <c r="CM549" s="13"/>
      <c r="CN549" s="13"/>
      <c r="CO549" s="13"/>
      <c r="CP549" s="13"/>
    </row>
    <row r="550" spans="90:94" ht="20.25" customHeight="1" x14ac:dyDescent="0.25">
      <c r="CL550" s="13"/>
      <c r="CM550" s="13"/>
      <c r="CN550" s="13"/>
      <c r="CO550" s="13"/>
      <c r="CP550" s="13"/>
    </row>
    <row r="551" spans="90:94" ht="20.25" customHeight="1" x14ac:dyDescent="0.25">
      <c r="CL551" s="13"/>
      <c r="CM551" s="13"/>
      <c r="CN551" s="13"/>
      <c r="CO551" s="13"/>
      <c r="CP551" s="13"/>
    </row>
    <row r="552" spans="90:94" ht="20.25" customHeight="1" x14ac:dyDescent="0.25">
      <c r="CL552" s="13"/>
      <c r="CM552" s="13"/>
      <c r="CN552" s="13"/>
      <c r="CO552" s="13"/>
      <c r="CP552" s="13"/>
    </row>
    <row r="553" spans="90:94" ht="20.25" customHeight="1" x14ac:dyDescent="0.25">
      <c r="CL553" s="13"/>
      <c r="CM553" s="13"/>
      <c r="CN553" s="13"/>
      <c r="CO553" s="13"/>
      <c r="CP553" s="13"/>
    </row>
    <row r="554" spans="90:94" ht="20.25" customHeight="1" x14ac:dyDescent="0.25">
      <c r="CL554" s="13"/>
      <c r="CM554" s="13"/>
      <c r="CN554" s="13"/>
      <c r="CO554" s="13"/>
      <c r="CP554" s="13"/>
    </row>
    <row r="555" spans="90:94" ht="20.25" customHeight="1" x14ac:dyDescent="0.25">
      <c r="CL555" s="13"/>
      <c r="CM555" s="13"/>
      <c r="CN555" s="13"/>
      <c r="CO555" s="13"/>
      <c r="CP555" s="13"/>
    </row>
    <row r="556" spans="90:94" ht="20.25" customHeight="1" x14ac:dyDescent="0.25">
      <c r="CL556" s="13"/>
      <c r="CM556" s="13"/>
      <c r="CN556" s="13"/>
      <c r="CO556" s="13"/>
      <c r="CP556" s="13"/>
    </row>
    <row r="557" spans="90:94" ht="20.25" customHeight="1" x14ac:dyDescent="0.25">
      <c r="CL557" s="13"/>
      <c r="CM557" s="13"/>
      <c r="CN557" s="13"/>
      <c r="CO557" s="13"/>
      <c r="CP557" s="13"/>
    </row>
    <row r="558" spans="90:94" ht="20.25" customHeight="1" x14ac:dyDescent="0.25">
      <c r="CL558" s="13"/>
      <c r="CM558" s="13"/>
      <c r="CN558" s="13"/>
      <c r="CO558" s="13"/>
      <c r="CP558" s="13"/>
    </row>
    <row r="559" spans="90:94" ht="20.25" customHeight="1" x14ac:dyDescent="0.25">
      <c r="CL559" s="13"/>
      <c r="CM559" s="13"/>
      <c r="CN559" s="13"/>
      <c r="CO559" s="13"/>
      <c r="CP559" s="13"/>
    </row>
    <row r="560" spans="90:94" ht="20.25" customHeight="1" x14ac:dyDescent="0.25">
      <c r="CL560" s="13"/>
      <c r="CM560" s="13"/>
      <c r="CN560" s="13"/>
      <c r="CO560" s="13"/>
      <c r="CP560" s="13"/>
    </row>
    <row r="561" spans="90:94" ht="20.25" customHeight="1" x14ac:dyDescent="0.25">
      <c r="CL561" s="13"/>
      <c r="CM561" s="13"/>
      <c r="CN561" s="13"/>
      <c r="CO561" s="13"/>
      <c r="CP561" s="13"/>
    </row>
    <row r="562" spans="90:94" ht="20.25" customHeight="1" x14ac:dyDescent="0.25">
      <c r="CL562" s="13"/>
      <c r="CM562" s="13"/>
      <c r="CN562" s="13"/>
      <c r="CO562" s="13"/>
      <c r="CP562" s="13"/>
    </row>
    <row r="563" spans="90:94" ht="20.25" customHeight="1" x14ac:dyDescent="0.25">
      <c r="CL563" s="13"/>
      <c r="CM563" s="13"/>
      <c r="CN563" s="13"/>
      <c r="CO563" s="13"/>
      <c r="CP563" s="13"/>
    </row>
    <row r="564" spans="90:94" ht="20.25" customHeight="1" x14ac:dyDescent="0.25">
      <c r="CL564" s="13"/>
      <c r="CM564" s="13"/>
      <c r="CN564" s="13"/>
      <c r="CO564" s="13"/>
      <c r="CP564" s="13"/>
    </row>
    <row r="565" spans="90:94" ht="20.25" customHeight="1" x14ac:dyDescent="0.25">
      <c r="CL565" s="13"/>
      <c r="CM565" s="13"/>
      <c r="CN565" s="13"/>
      <c r="CO565" s="13"/>
      <c r="CP565" s="13"/>
    </row>
    <row r="566" spans="90:94" ht="20.25" customHeight="1" x14ac:dyDescent="0.25">
      <c r="CL566" s="13"/>
      <c r="CM566" s="13"/>
      <c r="CN566" s="13"/>
      <c r="CO566" s="13"/>
      <c r="CP566" s="13"/>
    </row>
    <row r="567" spans="90:94" ht="20.25" customHeight="1" x14ac:dyDescent="0.25">
      <c r="CL567" s="13"/>
      <c r="CM567" s="13"/>
      <c r="CN567" s="13"/>
      <c r="CO567" s="13"/>
      <c r="CP567" s="13"/>
    </row>
    <row r="568" spans="90:94" ht="20.25" customHeight="1" x14ac:dyDescent="0.25">
      <c r="CL568" s="13"/>
      <c r="CM568" s="13"/>
      <c r="CN568" s="13"/>
      <c r="CO568" s="13"/>
      <c r="CP568" s="13"/>
    </row>
    <row r="569" spans="90:94" ht="20.25" customHeight="1" x14ac:dyDescent="0.25">
      <c r="CL569" s="13"/>
      <c r="CM569" s="13"/>
      <c r="CN569" s="13"/>
      <c r="CO569" s="13"/>
      <c r="CP569" s="13"/>
    </row>
    <row r="570" spans="90:94" ht="20.25" customHeight="1" x14ac:dyDescent="0.25">
      <c r="CL570" s="13"/>
      <c r="CM570" s="13"/>
      <c r="CN570" s="13"/>
      <c r="CO570" s="13"/>
      <c r="CP570" s="13"/>
    </row>
    <row r="571" spans="90:94" ht="20.25" customHeight="1" x14ac:dyDescent="0.25">
      <c r="CL571" s="13"/>
      <c r="CM571" s="13"/>
      <c r="CN571" s="13"/>
      <c r="CO571" s="13"/>
      <c r="CP571" s="13"/>
    </row>
    <row r="572" spans="90:94" ht="20.25" customHeight="1" x14ac:dyDescent="0.25">
      <c r="CL572" s="13"/>
      <c r="CM572" s="13"/>
      <c r="CN572" s="13"/>
      <c r="CO572" s="13"/>
      <c r="CP572" s="13"/>
    </row>
    <row r="573" spans="90:94" ht="20.25" customHeight="1" x14ac:dyDescent="0.25">
      <c r="CL573" s="13"/>
      <c r="CM573" s="13"/>
      <c r="CN573" s="13"/>
      <c r="CO573" s="13"/>
      <c r="CP573" s="13"/>
    </row>
    <row r="574" spans="90:94" ht="20.25" customHeight="1" x14ac:dyDescent="0.25">
      <c r="CL574" s="13"/>
      <c r="CM574" s="13"/>
      <c r="CN574" s="13"/>
      <c r="CO574" s="13"/>
      <c r="CP574" s="13"/>
    </row>
    <row r="575" spans="90:94" ht="20.25" customHeight="1" x14ac:dyDescent="0.25">
      <c r="CL575" s="13"/>
      <c r="CM575" s="13"/>
      <c r="CN575" s="13"/>
      <c r="CO575" s="13"/>
      <c r="CP575" s="13"/>
    </row>
    <row r="576" spans="90:94" ht="20.25" customHeight="1" x14ac:dyDescent="0.25">
      <c r="CL576" s="13"/>
      <c r="CM576" s="13"/>
      <c r="CN576" s="13"/>
      <c r="CO576" s="13"/>
      <c r="CP576" s="13"/>
    </row>
    <row r="577" spans="90:94" ht="20.25" customHeight="1" x14ac:dyDescent="0.25">
      <c r="CL577" s="13"/>
      <c r="CM577" s="13"/>
      <c r="CN577" s="13"/>
      <c r="CO577" s="13"/>
      <c r="CP577" s="13"/>
    </row>
    <row r="578" spans="90:94" ht="20.25" customHeight="1" x14ac:dyDescent="0.25">
      <c r="CL578" s="13"/>
      <c r="CM578" s="13"/>
      <c r="CN578" s="13"/>
      <c r="CO578" s="13"/>
      <c r="CP578" s="13"/>
    </row>
    <row r="579" spans="90:94" ht="20.25" customHeight="1" x14ac:dyDescent="0.25">
      <c r="CL579" s="13"/>
      <c r="CM579" s="13"/>
      <c r="CN579" s="13"/>
      <c r="CO579" s="13"/>
      <c r="CP579" s="13"/>
    </row>
    <row r="580" spans="90:94" ht="20.25" customHeight="1" x14ac:dyDescent="0.25">
      <c r="CL580" s="13"/>
      <c r="CM580" s="13"/>
      <c r="CN580" s="13"/>
      <c r="CO580" s="13"/>
      <c r="CP580" s="13"/>
    </row>
    <row r="581" spans="90:94" ht="20.25" customHeight="1" x14ac:dyDescent="0.25">
      <c r="CL581" s="13"/>
      <c r="CM581" s="13"/>
      <c r="CN581" s="13"/>
      <c r="CO581" s="13"/>
      <c r="CP581" s="13"/>
    </row>
    <row r="582" spans="90:94" ht="20.25" customHeight="1" x14ac:dyDescent="0.25">
      <c r="CL582" s="13"/>
      <c r="CM582" s="13"/>
      <c r="CN582" s="13"/>
      <c r="CO582" s="13"/>
      <c r="CP582" s="13"/>
    </row>
    <row r="583" spans="90:94" ht="20.25" customHeight="1" x14ac:dyDescent="0.25">
      <c r="CL583" s="13"/>
      <c r="CM583" s="13"/>
      <c r="CN583" s="13"/>
      <c r="CO583" s="13"/>
      <c r="CP583" s="13"/>
    </row>
    <row r="584" spans="90:94" ht="20.25" customHeight="1" x14ac:dyDescent="0.25">
      <c r="CL584" s="13"/>
      <c r="CM584" s="13"/>
      <c r="CN584" s="13"/>
      <c r="CO584" s="13"/>
      <c r="CP584" s="13"/>
    </row>
    <row r="585" spans="90:94" ht="20.25" customHeight="1" x14ac:dyDescent="0.25">
      <c r="CL585" s="13"/>
      <c r="CM585" s="13"/>
      <c r="CN585" s="13"/>
      <c r="CO585" s="13"/>
      <c r="CP585" s="13"/>
    </row>
    <row r="586" spans="90:94" ht="20.25" customHeight="1" x14ac:dyDescent="0.25">
      <c r="CL586" s="13"/>
      <c r="CM586" s="13"/>
      <c r="CN586" s="13"/>
      <c r="CO586" s="13"/>
      <c r="CP586" s="13"/>
    </row>
    <row r="587" spans="90:94" ht="20.25" customHeight="1" x14ac:dyDescent="0.25">
      <c r="CL587" s="13"/>
      <c r="CM587" s="13"/>
      <c r="CN587" s="13"/>
      <c r="CO587" s="13"/>
      <c r="CP587" s="13"/>
    </row>
    <row r="588" spans="90:94" ht="20.25" customHeight="1" x14ac:dyDescent="0.25">
      <c r="CL588" s="13"/>
      <c r="CM588" s="13"/>
      <c r="CN588" s="13"/>
      <c r="CO588" s="13"/>
      <c r="CP588" s="13"/>
    </row>
    <row r="589" spans="90:94" ht="20.25" customHeight="1" x14ac:dyDescent="0.25">
      <c r="CL589" s="13"/>
      <c r="CM589" s="13"/>
      <c r="CN589" s="13"/>
      <c r="CO589" s="13"/>
      <c r="CP589" s="13"/>
    </row>
    <row r="590" spans="90:94" ht="20.25" customHeight="1" x14ac:dyDescent="0.25">
      <c r="CL590" s="13"/>
      <c r="CM590" s="13"/>
      <c r="CN590" s="13"/>
      <c r="CO590" s="13"/>
      <c r="CP590" s="13"/>
    </row>
    <row r="591" spans="90:94" ht="20.25" customHeight="1" x14ac:dyDescent="0.25">
      <c r="CL591" s="13"/>
      <c r="CM591" s="13"/>
      <c r="CN591" s="13"/>
      <c r="CO591" s="13"/>
      <c r="CP591" s="13"/>
    </row>
    <row r="592" spans="90:94" ht="20.25" customHeight="1" x14ac:dyDescent="0.25">
      <c r="CL592" s="13"/>
      <c r="CM592" s="13"/>
      <c r="CN592" s="13"/>
      <c r="CO592" s="13"/>
      <c r="CP592" s="13"/>
    </row>
    <row r="593" spans="90:94" ht="20.25" customHeight="1" x14ac:dyDescent="0.25">
      <c r="CL593" s="13"/>
      <c r="CM593" s="13"/>
      <c r="CN593" s="13"/>
      <c r="CO593" s="13"/>
      <c r="CP593" s="13"/>
    </row>
    <row r="594" spans="90:94" ht="20.25" customHeight="1" x14ac:dyDescent="0.25">
      <c r="CL594" s="13"/>
      <c r="CM594" s="13"/>
      <c r="CN594" s="13"/>
      <c r="CO594" s="13"/>
      <c r="CP594" s="13"/>
    </row>
    <row r="595" spans="90:94" ht="20.25" customHeight="1" x14ac:dyDescent="0.25">
      <c r="CL595" s="13"/>
      <c r="CM595" s="13"/>
      <c r="CN595" s="13"/>
      <c r="CO595" s="13"/>
      <c r="CP595" s="13"/>
    </row>
    <row r="596" spans="90:94" ht="20.25" customHeight="1" x14ac:dyDescent="0.25">
      <c r="CL596" s="13"/>
      <c r="CM596" s="13"/>
      <c r="CN596" s="13"/>
      <c r="CO596" s="13"/>
      <c r="CP596" s="13"/>
    </row>
    <row r="597" spans="90:94" ht="20.25" customHeight="1" x14ac:dyDescent="0.25">
      <c r="CL597" s="13"/>
      <c r="CM597" s="13"/>
      <c r="CN597" s="13"/>
      <c r="CO597" s="13"/>
      <c r="CP597" s="13"/>
    </row>
    <row r="598" spans="90:94" ht="20.25" customHeight="1" x14ac:dyDescent="0.25">
      <c r="CL598" s="13"/>
      <c r="CM598" s="13"/>
      <c r="CN598" s="13"/>
      <c r="CO598" s="13"/>
      <c r="CP598" s="13"/>
    </row>
    <row r="599" spans="90:94" ht="20.25" customHeight="1" x14ac:dyDescent="0.25">
      <c r="CL599" s="13"/>
      <c r="CM599" s="13"/>
      <c r="CN599" s="13"/>
      <c r="CO599" s="13"/>
      <c r="CP599" s="13"/>
    </row>
    <row r="600" spans="90:94" ht="20.25" customHeight="1" x14ac:dyDescent="0.25">
      <c r="CL600" s="13"/>
      <c r="CM600" s="13"/>
      <c r="CN600" s="13"/>
      <c r="CO600" s="13"/>
      <c r="CP600" s="13"/>
    </row>
    <row r="601" spans="90:94" ht="20.25" customHeight="1" x14ac:dyDescent="0.25">
      <c r="CL601" s="13"/>
      <c r="CM601" s="13"/>
      <c r="CN601" s="13"/>
      <c r="CO601" s="13"/>
      <c r="CP601" s="13"/>
    </row>
    <row r="602" spans="90:94" ht="20.25" customHeight="1" x14ac:dyDescent="0.25">
      <c r="CL602" s="13"/>
      <c r="CM602" s="13"/>
      <c r="CN602" s="13"/>
      <c r="CO602" s="13"/>
      <c r="CP602" s="13"/>
    </row>
    <row r="603" spans="90:94" ht="20.25" customHeight="1" x14ac:dyDescent="0.25">
      <c r="CL603" s="13"/>
      <c r="CM603" s="13"/>
      <c r="CN603" s="13"/>
      <c r="CO603" s="13"/>
      <c r="CP603" s="13"/>
    </row>
    <row r="604" spans="90:94" ht="20.25" customHeight="1" x14ac:dyDescent="0.25">
      <c r="CL604" s="13"/>
      <c r="CM604" s="13"/>
      <c r="CN604" s="13"/>
      <c r="CO604" s="13"/>
      <c r="CP604" s="13"/>
    </row>
    <row r="605" spans="90:94" ht="20.25" customHeight="1" x14ac:dyDescent="0.25">
      <c r="CL605" s="13"/>
      <c r="CM605" s="13"/>
      <c r="CN605" s="13"/>
      <c r="CO605" s="13"/>
      <c r="CP605" s="13"/>
    </row>
    <row r="606" spans="90:94" ht="20.25" customHeight="1" x14ac:dyDescent="0.25">
      <c r="CL606" s="13"/>
      <c r="CM606" s="13"/>
      <c r="CN606" s="13"/>
      <c r="CO606" s="13"/>
      <c r="CP606" s="13"/>
    </row>
    <row r="607" spans="90:94" ht="20.25" customHeight="1" x14ac:dyDescent="0.25">
      <c r="CL607" s="13"/>
      <c r="CM607" s="13"/>
      <c r="CN607" s="13"/>
      <c r="CO607" s="13"/>
      <c r="CP607" s="13"/>
    </row>
    <row r="608" spans="90:94" ht="20.25" customHeight="1" x14ac:dyDescent="0.25">
      <c r="CL608" s="13"/>
      <c r="CM608" s="13"/>
      <c r="CN608" s="13"/>
      <c r="CO608" s="13"/>
      <c r="CP608" s="13"/>
    </row>
    <row r="609" spans="90:94" ht="20.25" customHeight="1" x14ac:dyDescent="0.25">
      <c r="CL609" s="13"/>
      <c r="CM609" s="13"/>
      <c r="CN609" s="13"/>
      <c r="CO609" s="13"/>
      <c r="CP609" s="13"/>
    </row>
    <row r="610" spans="90:94" ht="20.25" customHeight="1" x14ac:dyDescent="0.25">
      <c r="CL610" s="13"/>
      <c r="CM610" s="13"/>
      <c r="CN610" s="13"/>
      <c r="CO610" s="13"/>
      <c r="CP610" s="13"/>
    </row>
    <row r="611" spans="90:94" ht="20.25" customHeight="1" x14ac:dyDescent="0.25">
      <c r="CL611" s="13"/>
      <c r="CM611" s="13"/>
      <c r="CN611" s="13"/>
      <c r="CO611" s="13"/>
      <c r="CP611" s="13"/>
    </row>
    <row r="612" spans="90:94" ht="20.25" customHeight="1" x14ac:dyDescent="0.25">
      <c r="CL612" s="13"/>
      <c r="CM612" s="13"/>
      <c r="CN612" s="13"/>
      <c r="CO612" s="13"/>
      <c r="CP612" s="13"/>
    </row>
    <row r="613" spans="90:94" ht="20.25" customHeight="1" x14ac:dyDescent="0.25">
      <c r="CL613" s="13"/>
      <c r="CM613" s="13"/>
      <c r="CN613" s="13"/>
      <c r="CO613" s="13"/>
      <c r="CP613" s="13"/>
    </row>
    <row r="614" spans="90:94" ht="20.25" customHeight="1" x14ac:dyDescent="0.25">
      <c r="CL614" s="13"/>
      <c r="CM614" s="13"/>
      <c r="CN614" s="13"/>
      <c r="CO614" s="13"/>
      <c r="CP614" s="13"/>
    </row>
    <row r="615" spans="90:94" ht="20.25" customHeight="1" x14ac:dyDescent="0.25">
      <c r="CL615" s="13"/>
      <c r="CM615" s="13"/>
      <c r="CN615" s="13"/>
      <c r="CO615" s="13"/>
      <c r="CP615" s="13"/>
    </row>
    <row r="616" spans="90:94" ht="20.25" customHeight="1" x14ac:dyDescent="0.25">
      <c r="CL616" s="13"/>
      <c r="CM616" s="13"/>
      <c r="CN616" s="13"/>
      <c r="CO616" s="13"/>
      <c r="CP616" s="13"/>
    </row>
    <row r="617" spans="90:94" ht="20.25" customHeight="1" x14ac:dyDescent="0.25">
      <c r="CL617" s="13"/>
      <c r="CM617" s="13"/>
      <c r="CN617" s="13"/>
      <c r="CO617" s="13"/>
      <c r="CP617" s="13"/>
    </row>
    <row r="618" spans="90:94" ht="20.25" customHeight="1" x14ac:dyDescent="0.25">
      <c r="CL618" s="13"/>
      <c r="CM618" s="13"/>
      <c r="CN618" s="13"/>
      <c r="CO618" s="13"/>
      <c r="CP618" s="13"/>
    </row>
    <row r="619" spans="90:94" ht="20.25" customHeight="1" x14ac:dyDescent="0.25">
      <c r="CL619" s="13"/>
      <c r="CM619" s="13"/>
      <c r="CN619" s="13"/>
      <c r="CO619" s="13"/>
      <c r="CP619" s="13"/>
    </row>
    <row r="620" spans="90:94" ht="20.25" customHeight="1" x14ac:dyDescent="0.25">
      <c r="CL620" s="13"/>
      <c r="CM620" s="13"/>
      <c r="CN620" s="13"/>
      <c r="CO620" s="13"/>
      <c r="CP620" s="13"/>
    </row>
    <row r="621" spans="90:94" ht="20.25" customHeight="1" x14ac:dyDescent="0.25">
      <c r="CL621" s="13"/>
      <c r="CM621" s="13"/>
      <c r="CN621" s="13"/>
      <c r="CO621" s="13"/>
      <c r="CP621" s="13"/>
    </row>
    <row r="622" spans="90:94" ht="20.25" customHeight="1" x14ac:dyDescent="0.25">
      <c r="CL622" s="13"/>
      <c r="CM622" s="13"/>
      <c r="CN622" s="13"/>
      <c r="CO622" s="13"/>
      <c r="CP622" s="13"/>
    </row>
    <row r="623" spans="90:94" ht="20.25" customHeight="1" x14ac:dyDescent="0.25">
      <c r="CL623" s="13"/>
      <c r="CM623" s="13"/>
      <c r="CN623" s="13"/>
      <c r="CO623" s="13"/>
      <c r="CP623" s="13"/>
    </row>
    <row r="624" spans="90:94" ht="20.25" customHeight="1" x14ac:dyDescent="0.25">
      <c r="CL624" s="13"/>
      <c r="CM624" s="13"/>
      <c r="CN624" s="13"/>
      <c r="CO624" s="13"/>
      <c r="CP624" s="13"/>
    </row>
    <row r="625" spans="90:94" ht="20.25" customHeight="1" x14ac:dyDescent="0.25">
      <c r="CL625" s="13"/>
      <c r="CM625" s="13"/>
      <c r="CN625" s="13"/>
      <c r="CO625" s="13"/>
      <c r="CP625" s="13"/>
    </row>
    <row r="626" spans="90:94" ht="20.25" customHeight="1" x14ac:dyDescent="0.25">
      <c r="CL626" s="13"/>
      <c r="CM626" s="13"/>
      <c r="CN626" s="13"/>
      <c r="CO626" s="13"/>
      <c r="CP626" s="13"/>
    </row>
    <row r="627" spans="90:94" ht="20.25" customHeight="1" x14ac:dyDescent="0.25">
      <c r="CL627" s="13"/>
      <c r="CM627" s="13"/>
      <c r="CN627" s="13"/>
      <c r="CO627" s="13"/>
      <c r="CP627" s="13"/>
    </row>
    <row r="628" spans="90:94" ht="20.25" customHeight="1" x14ac:dyDescent="0.25">
      <c r="CL628" s="13"/>
      <c r="CM628" s="13"/>
      <c r="CN628" s="13"/>
      <c r="CO628" s="13"/>
      <c r="CP628" s="13"/>
    </row>
    <row r="629" spans="90:94" ht="20.25" customHeight="1" x14ac:dyDescent="0.25">
      <c r="CL629" s="13"/>
      <c r="CM629" s="13"/>
      <c r="CN629" s="13"/>
      <c r="CO629" s="13"/>
      <c r="CP629" s="13"/>
    </row>
    <row r="630" spans="90:94" ht="20.25" customHeight="1" x14ac:dyDescent="0.25">
      <c r="CL630" s="13"/>
      <c r="CM630" s="13"/>
      <c r="CN630" s="13"/>
      <c r="CO630" s="13"/>
      <c r="CP630" s="13"/>
    </row>
    <row r="631" spans="90:94" ht="20.25" customHeight="1" x14ac:dyDescent="0.25">
      <c r="CL631" s="13"/>
      <c r="CM631" s="13"/>
      <c r="CN631" s="13"/>
      <c r="CO631" s="13"/>
      <c r="CP631" s="13"/>
    </row>
    <row r="632" spans="90:94" ht="20.25" customHeight="1" x14ac:dyDescent="0.25">
      <c r="CL632" s="13"/>
      <c r="CM632" s="13"/>
      <c r="CN632" s="13"/>
      <c r="CO632" s="13"/>
      <c r="CP632" s="13"/>
    </row>
    <row r="633" spans="90:94" ht="20.25" customHeight="1" x14ac:dyDescent="0.25">
      <c r="CL633" s="13"/>
      <c r="CM633" s="13"/>
      <c r="CN633" s="13"/>
      <c r="CO633" s="13"/>
      <c r="CP633" s="13"/>
    </row>
    <row r="634" spans="90:94" ht="20.25" customHeight="1" x14ac:dyDescent="0.25">
      <c r="CL634" s="13"/>
      <c r="CM634" s="13"/>
      <c r="CN634" s="13"/>
      <c r="CO634" s="13"/>
      <c r="CP634" s="13"/>
    </row>
    <row r="635" spans="90:94" ht="20.25" customHeight="1" x14ac:dyDescent="0.25">
      <c r="CL635" s="13"/>
      <c r="CM635" s="13"/>
      <c r="CN635" s="13"/>
      <c r="CO635" s="13"/>
      <c r="CP635" s="13"/>
    </row>
    <row r="636" spans="90:94" ht="20.25" customHeight="1" x14ac:dyDescent="0.25">
      <c r="CL636" s="13"/>
      <c r="CM636" s="13"/>
      <c r="CN636" s="13"/>
      <c r="CO636" s="13"/>
      <c r="CP636" s="13"/>
    </row>
    <row r="637" spans="90:94" ht="20.25" customHeight="1" x14ac:dyDescent="0.25">
      <c r="CL637" s="13"/>
      <c r="CM637" s="13"/>
      <c r="CN637" s="13"/>
      <c r="CO637" s="13"/>
      <c r="CP637" s="13"/>
    </row>
    <row r="638" spans="90:94" ht="20.25" customHeight="1" x14ac:dyDescent="0.25">
      <c r="CL638" s="13"/>
      <c r="CM638" s="13"/>
      <c r="CN638" s="13"/>
      <c r="CO638" s="13"/>
      <c r="CP638" s="13"/>
    </row>
    <row r="639" spans="90:94" ht="20.25" customHeight="1" x14ac:dyDescent="0.25">
      <c r="CL639" s="13"/>
      <c r="CM639" s="13"/>
      <c r="CN639" s="13"/>
      <c r="CO639" s="13"/>
      <c r="CP639" s="13"/>
    </row>
    <row r="640" spans="90:94" ht="20.25" customHeight="1" x14ac:dyDescent="0.25">
      <c r="CL640" s="13"/>
      <c r="CM640" s="13"/>
      <c r="CN640" s="13"/>
      <c r="CO640" s="13"/>
      <c r="CP640" s="13"/>
    </row>
    <row r="641" spans="90:94" ht="20.25" customHeight="1" x14ac:dyDescent="0.25">
      <c r="CL641" s="13"/>
      <c r="CM641" s="13"/>
      <c r="CN641" s="13"/>
      <c r="CO641" s="13"/>
      <c r="CP641" s="13"/>
    </row>
    <row r="642" spans="90:94" ht="20.25" customHeight="1" x14ac:dyDescent="0.25">
      <c r="CL642" s="13"/>
      <c r="CM642" s="13"/>
      <c r="CN642" s="13"/>
      <c r="CO642" s="13"/>
      <c r="CP642" s="13"/>
    </row>
    <row r="643" spans="90:94" ht="20.25" customHeight="1" x14ac:dyDescent="0.25">
      <c r="CL643" s="13"/>
      <c r="CM643" s="13"/>
      <c r="CN643" s="13"/>
      <c r="CO643" s="13"/>
      <c r="CP643" s="13"/>
    </row>
    <row r="644" spans="90:94" ht="20.25" customHeight="1" x14ac:dyDescent="0.25">
      <c r="CL644" s="13"/>
      <c r="CM644" s="13"/>
      <c r="CN644" s="13"/>
      <c r="CO644" s="13"/>
      <c r="CP644" s="13"/>
    </row>
    <row r="645" spans="90:94" ht="20.25" customHeight="1" x14ac:dyDescent="0.25">
      <c r="CL645" s="13"/>
      <c r="CM645" s="13"/>
      <c r="CN645" s="13"/>
      <c r="CO645" s="13"/>
      <c r="CP645" s="13"/>
    </row>
    <row r="646" spans="90:94" ht="20.25" customHeight="1" x14ac:dyDescent="0.25">
      <c r="CL646" s="13"/>
      <c r="CM646" s="13"/>
      <c r="CN646" s="13"/>
      <c r="CO646" s="13"/>
      <c r="CP646" s="13"/>
    </row>
    <row r="647" spans="90:94" ht="20.25" customHeight="1" x14ac:dyDescent="0.25">
      <c r="CL647" s="13"/>
      <c r="CM647" s="13"/>
      <c r="CN647" s="13"/>
      <c r="CO647" s="13"/>
      <c r="CP647" s="13"/>
    </row>
    <row r="648" spans="90:94" ht="20.25" customHeight="1" x14ac:dyDescent="0.25">
      <c r="CL648" s="13"/>
      <c r="CM648" s="13"/>
      <c r="CN648" s="13"/>
      <c r="CO648" s="13"/>
      <c r="CP648" s="13"/>
    </row>
    <row r="649" spans="90:94" ht="20.25" customHeight="1" x14ac:dyDescent="0.25">
      <c r="CL649" s="13"/>
      <c r="CM649" s="13"/>
      <c r="CN649" s="13"/>
      <c r="CO649" s="13"/>
      <c r="CP649" s="13"/>
    </row>
    <row r="650" spans="90:94" ht="20.25" customHeight="1" x14ac:dyDescent="0.25">
      <c r="CL650" s="13"/>
      <c r="CM650" s="13"/>
      <c r="CN650" s="13"/>
      <c r="CO650" s="13"/>
      <c r="CP650" s="13"/>
    </row>
    <row r="651" spans="90:94" ht="20.25" customHeight="1" x14ac:dyDescent="0.25">
      <c r="CL651" s="13"/>
      <c r="CM651" s="13"/>
      <c r="CN651" s="13"/>
      <c r="CO651" s="13"/>
      <c r="CP651" s="13"/>
    </row>
    <row r="652" spans="90:94" ht="20.25" customHeight="1" x14ac:dyDescent="0.25">
      <c r="CL652" s="13"/>
      <c r="CM652" s="13"/>
      <c r="CN652" s="13"/>
      <c r="CO652" s="13"/>
      <c r="CP652" s="13"/>
    </row>
    <row r="653" spans="90:94" ht="20.25" customHeight="1" x14ac:dyDescent="0.25">
      <c r="CL653" s="13"/>
      <c r="CM653" s="13"/>
      <c r="CN653" s="13"/>
      <c r="CO653" s="13"/>
      <c r="CP653" s="13"/>
    </row>
    <row r="654" spans="90:94" ht="20.25" customHeight="1" x14ac:dyDescent="0.25">
      <c r="CL654" s="13"/>
      <c r="CM654" s="13"/>
      <c r="CN654" s="13"/>
      <c r="CO654" s="13"/>
      <c r="CP654" s="13"/>
    </row>
    <row r="655" spans="90:94" ht="20.25" customHeight="1" x14ac:dyDescent="0.25">
      <c r="CL655" s="13"/>
      <c r="CM655" s="13"/>
      <c r="CN655" s="13"/>
      <c r="CO655" s="13"/>
      <c r="CP655" s="13"/>
    </row>
    <row r="656" spans="90:94" ht="20.25" customHeight="1" x14ac:dyDescent="0.25">
      <c r="CL656" s="13"/>
      <c r="CM656" s="13"/>
      <c r="CN656" s="13"/>
      <c r="CO656" s="13"/>
      <c r="CP656" s="13"/>
    </row>
    <row r="657" spans="90:94" ht="20.25" customHeight="1" x14ac:dyDescent="0.25">
      <c r="CL657" s="13"/>
      <c r="CM657" s="13"/>
      <c r="CN657" s="13"/>
      <c r="CO657" s="13"/>
      <c r="CP657" s="13"/>
    </row>
    <row r="658" spans="90:94" ht="20.25" customHeight="1" x14ac:dyDescent="0.25">
      <c r="CL658" s="13"/>
      <c r="CM658" s="13"/>
      <c r="CN658" s="13"/>
      <c r="CO658" s="13"/>
      <c r="CP658" s="13"/>
    </row>
    <row r="659" spans="90:94" ht="20.25" customHeight="1" x14ac:dyDescent="0.25">
      <c r="CL659" s="13"/>
      <c r="CM659" s="13"/>
      <c r="CN659" s="13"/>
      <c r="CO659" s="13"/>
      <c r="CP659" s="13"/>
    </row>
    <row r="660" spans="90:94" ht="20.25" customHeight="1" x14ac:dyDescent="0.25">
      <c r="CL660" s="13"/>
      <c r="CM660" s="13"/>
      <c r="CN660" s="13"/>
      <c r="CO660" s="13"/>
      <c r="CP660" s="13"/>
    </row>
    <row r="661" spans="90:94" ht="20.25" customHeight="1" x14ac:dyDescent="0.25">
      <c r="CL661" s="13"/>
      <c r="CM661" s="13"/>
      <c r="CN661" s="13"/>
      <c r="CO661" s="13"/>
      <c r="CP661" s="13"/>
    </row>
    <row r="662" spans="90:94" ht="20.25" customHeight="1" x14ac:dyDescent="0.25">
      <c r="CL662" s="13"/>
      <c r="CM662" s="13"/>
      <c r="CN662" s="13"/>
      <c r="CO662" s="13"/>
      <c r="CP662" s="13"/>
    </row>
    <row r="663" spans="90:94" ht="20.25" customHeight="1" x14ac:dyDescent="0.25">
      <c r="CL663" s="13"/>
      <c r="CM663" s="13"/>
      <c r="CN663" s="13"/>
      <c r="CO663" s="13"/>
      <c r="CP663" s="13"/>
    </row>
    <row r="664" spans="90:94" ht="20.25" customHeight="1" x14ac:dyDescent="0.25">
      <c r="CL664" s="13"/>
      <c r="CM664" s="13"/>
      <c r="CN664" s="13"/>
      <c r="CO664" s="13"/>
      <c r="CP664" s="13"/>
    </row>
    <row r="665" spans="90:94" ht="20.25" customHeight="1" x14ac:dyDescent="0.25">
      <c r="CL665" s="13"/>
      <c r="CM665" s="13"/>
      <c r="CN665" s="13"/>
      <c r="CO665" s="13"/>
      <c r="CP665" s="13"/>
    </row>
    <row r="666" spans="90:94" ht="20.25" customHeight="1" x14ac:dyDescent="0.25">
      <c r="CL666" s="13"/>
      <c r="CM666" s="13"/>
      <c r="CN666" s="13"/>
      <c r="CO666" s="13"/>
      <c r="CP666" s="13"/>
    </row>
    <row r="667" spans="90:94" ht="20.25" customHeight="1" x14ac:dyDescent="0.25">
      <c r="CL667" s="13"/>
      <c r="CM667" s="13"/>
      <c r="CN667" s="13"/>
      <c r="CO667" s="13"/>
      <c r="CP667" s="13"/>
    </row>
    <row r="668" spans="90:94" ht="20.25" customHeight="1" x14ac:dyDescent="0.25">
      <c r="CL668" s="13"/>
      <c r="CM668" s="13"/>
      <c r="CN668" s="13"/>
      <c r="CO668" s="13"/>
      <c r="CP668" s="13"/>
    </row>
    <row r="669" spans="90:94" ht="20.25" customHeight="1" x14ac:dyDescent="0.25">
      <c r="CL669" s="13"/>
      <c r="CM669" s="13"/>
      <c r="CN669" s="13"/>
      <c r="CO669" s="13"/>
      <c r="CP669" s="13"/>
    </row>
    <row r="670" spans="90:94" ht="20.25" customHeight="1" x14ac:dyDescent="0.25">
      <c r="CL670" s="13"/>
      <c r="CM670" s="13"/>
      <c r="CN670" s="13"/>
      <c r="CO670" s="13"/>
      <c r="CP670" s="13"/>
    </row>
    <row r="671" spans="90:94" ht="20.25" customHeight="1" x14ac:dyDescent="0.25">
      <c r="CL671" s="13"/>
      <c r="CM671" s="13"/>
      <c r="CN671" s="13"/>
      <c r="CO671" s="13"/>
      <c r="CP671" s="13"/>
    </row>
    <row r="672" spans="90:94" ht="20.25" customHeight="1" x14ac:dyDescent="0.25">
      <c r="CL672" s="13"/>
      <c r="CM672" s="13"/>
      <c r="CN672" s="13"/>
      <c r="CO672" s="13"/>
      <c r="CP672" s="13"/>
    </row>
    <row r="673" spans="90:94" ht="20.25" customHeight="1" x14ac:dyDescent="0.25">
      <c r="CL673" s="13"/>
      <c r="CM673" s="13"/>
      <c r="CN673" s="13"/>
      <c r="CO673" s="13"/>
      <c r="CP673" s="13"/>
    </row>
    <row r="674" spans="90:94" ht="20.25" customHeight="1" x14ac:dyDescent="0.25">
      <c r="CL674" s="13"/>
      <c r="CM674" s="13"/>
      <c r="CN674" s="13"/>
      <c r="CO674" s="13"/>
      <c r="CP674" s="13"/>
    </row>
    <row r="675" spans="90:94" ht="20.25" customHeight="1" x14ac:dyDescent="0.25">
      <c r="CL675" s="13"/>
      <c r="CM675" s="13"/>
      <c r="CN675" s="13"/>
      <c r="CO675" s="13"/>
      <c r="CP675" s="13"/>
    </row>
    <row r="676" spans="90:94" ht="20.25" customHeight="1" x14ac:dyDescent="0.25">
      <c r="CL676" s="13"/>
      <c r="CM676" s="13"/>
      <c r="CN676" s="13"/>
      <c r="CO676" s="13"/>
      <c r="CP676" s="13"/>
    </row>
    <row r="677" spans="90:94" ht="20.25" customHeight="1" x14ac:dyDescent="0.25">
      <c r="CL677" s="13"/>
      <c r="CM677" s="13"/>
      <c r="CN677" s="13"/>
      <c r="CO677" s="13"/>
      <c r="CP677" s="13"/>
    </row>
    <row r="678" spans="90:94" ht="20.25" customHeight="1" x14ac:dyDescent="0.25">
      <c r="CL678" s="13"/>
      <c r="CM678" s="13"/>
      <c r="CN678" s="13"/>
      <c r="CO678" s="13"/>
      <c r="CP678" s="13"/>
    </row>
    <row r="679" spans="90:94" ht="20.25" customHeight="1" x14ac:dyDescent="0.25">
      <c r="CL679" s="13"/>
      <c r="CM679" s="13"/>
      <c r="CN679" s="13"/>
      <c r="CO679" s="13"/>
      <c r="CP679" s="13"/>
    </row>
    <row r="680" spans="90:94" ht="20.25" customHeight="1" x14ac:dyDescent="0.25">
      <c r="CL680" s="13"/>
      <c r="CM680" s="13"/>
      <c r="CN680" s="13"/>
      <c r="CO680" s="13"/>
      <c r="CP680" s="13"/>
    </row>
    <row r="681" spans="90:94" ht="20.25" customHeight="1" x14ac:dyDescent="0.25">
      <c r="CL681" s="13"/>
      <c r="CM681" s="13"/>
      <c r="CN681" s="13"/>
      <c r="CO681" s="13"/>
      <c r="CP681" s="13"/>
    </row>
    <row r="682" spans="90:94" ht="20.25" customHeight="1" x14ac:dyDescent="0.25">
      <c r="CL682" s="13"/>
      <c r="CM682" s="13"/>
      <c r="CN682" s="13"/>
      <c r="CO682" s="13"/>
      <c r="CP682" s="13"/>
    </row>
    <row r="683" spans="90:94" ht="20.25" customHeight="1" x14ac:dyDescent="0.25">
      <c r="CL683" s="13"/>
      <c r="CM683" s="13"/>
      <c r="CN683" s="13"/>
      <c r="CO683" s="13"/>
      <c r="CP683" s="13"/>
    </row>
    <row r="684" spans="90:94" ht="20.25" customHeight="1" x14ac:dyDescent="0.25">
      <c r="CL684" s="13"/>
      <c r="CM684" s="13"/>
      <c r="CN684" s="13"/>
      <c r="CO684" s="13"/>
      <c r="CP684" s="13"/>
    </row>
    <row r="685" spans="90:94" ht="20.25" customHeight="1" x14ac:dyDescent="0.25">
      <c r="CL685" s="13"/>
      <c r="CM685" s="13"/>
      <c r="CN685" s="13"/>
      <c r="CO685" s="13"/>
      <c r="CP685" s="13"/>
    </row>
    <row r="686" spans="90:94" ht="20.25" customHeight="1" x14ac:dyDescent="0.25">
      <c r="CL686" s="13"/>
      <c r="CM686" s="13"/>
      <c r="CN686" s="13"/>
      <c r="CO686" s="13"/>
      <c r="CP686" s="13"/>
    </row>
    <row r="687" spans="90:94" ht="20.25" customHeight="1" x14ac:dyDescent="0.25">
      <c r="CL687" s="13"/>
      <c r="CM687" s="13"/>
      <c r="CN687" s="13"/>
      <c r="CO687" s="13"/>
      <c r="CP687" s="13"/>
    </row>
    <row r="688" spans="90:94" ht="20.25" customHeight="1" x14ac:dyDescent="0.25">
      <c r="CL688" s="13"/>
      <c r="CM688" s="13"/>
      <c r="CN688" s="13"/>
      <c r="CO688" s="13"/>
      <c r="CP688" s="13"/>
    </row>
    <row r="689" spans="90:94" ht="20.25" customHeight="1" x14ac:dyDescent="0.25">
      <c r="CL689" s="13"/>
      <c r="CM689" s="13"/>
      <c r="CN689" s="13"/>
      <c r="CO689" s="13"/>
      <c r="CP689" s="13"/>
    </row>
    <row r="690" spans="90:94" ht="20.25" customHeight="1" x14ac:dyDescent="0.25">
      <c r="CL690" s="13"/>
      <c r="CM690" s="13"/>
      <c r="CN690" s="13"/>
      <c r="CO690" s="13"/>
      <c r="CP690" s="13"/>
    </row>
    <row r="691" spans="90:94" ht="20.25" customHeight="1" x14ac:dyDescent="0.25">
      <c r="CL691" s="13"/>
      <c r="CM691" s="13"/>
      <c r="CN691" s="13"/>
      <c r="CO691" s="13"/>
      <c r="CP691" s="13"/>
    </row>
    <row r="692" spans="90:94" ht="20.25" customHeight="1" x14ac:dyDescent="0.25">
      <c r="CL692" s="13"/>
      <c r="CM692" s="13"/>
      <c r="CN692" s="13"/>
      <c r="CO692" s="13"/>
      <c r="CP692" s="13"/>
    </row>
    <row r="693" spans="90:94" ht="20.25" customHeight="1" x14ac:dyDescent="0.25">
      <c r="CL693" s="13"/>
      <c r="CM693" s="13"/>
      <c r="CN693" s="13"/>
      <c r="CO693" s="13"/>
      <c r="CP693" s="13"/>
    </row>
    <row r="694" spans="90:94" ht="20.25" customHeight="1" x14ac:dyDescent="0.25">
      <c r="CL694" s="13"/>
      <c r="CM694" s="13"/>
      <c r="CN694" s="13"/>
      <c r="CO694" s="13"/>
      <c r="CP694" s="13"/>
    </row>
    <row r="695" spans="90:94" ht="20.25" customHeight="1" x14ac:dyDescent="0.25">
      <c r="CL695" s="13"/>
      <c r="CM695" s="13"/>
      <c r="CN695" s="13"/>
      <c r="CO695" s="13"/>
      <c r="CP695" s="13"/>
    </row>
    <row r="696" spans="90:94" ht="20.25" customHeight="1" x14ac:dyDescent="0.25">
      <c r="CL696" s="13"/>
      <c r="CM696" s="13"/>
      <c r="CN696" s="13"/>
      <c r="CO696" s="13"/>
      <c r="CP696" s="13"/>
    </row>
    <row r="697" spans="90:94" ht="20.25" customHeight="1" x14ac:dyDescent="0.25">
      <c r="CL697" s="13"/>
      <c r="CM697" s="13"/>
      <c r="CN697" s="13"/>
      <c r="CO697" s="13"/>
      <c r="CP697" s="13"/>
    </row>
    <row r="698" spans="90:94" ht="20.25" customHeight="1" x14ac:dyDescent="0.25">
      <c r="CL698" s="13"/>
      <c r="CM698" s="13"/>
      <c r="CN698" s="13"/>
      <c r="CO698" s="13"/>
      <c r="CP698" s="13"/>
    </row>
    <row r="699" spans="90:94" ht="20.25" customHeight="1" x14ac:dyDescent="0.25">
      <c r="CL699" s="13"/>
      <c r="CM699" s="13"/>
      <c r="CN699" s="13"/>
      <c r="CO699" s="13"/>
      <c r="CP699" s="13"/>
    </row>
    <row r="700" spans="90:94" ht="20.25" customHeight="1" x14ac:dyDescent="0.25">
      <c r="CL700" s="13"/>
      <c r="CM700" s="13"/>
      <c r="CN700" s="13"/>
      <c r="CO700" s="13"/>
      <c r="CP700" s="13"/>
    </row>
    <row r="701" spans="90:94" ht="20.25" customHeight="1" x14ac:dyDescent="0.25">
      <c r="CL701" s="13"/>
      <c r="CM701" s="13"/>
      <c r="CN701" s="13"/>
      <c r="CO701" s="13"/>
      <c r="CP701" s="13"/>
    </row>
    <row r="702" spans="90:94" ht="20.25" customHeight="1" x14ac:dyDescent="0.25">
      <c r="CL702" s="13"/>
      <c r="CM702" s="13"/>
      <c r="CN702" s="13"/>
      <c r="CO702" s="13"/>
      <c r="CP702" s="13"/>
    </row>
    <row r="703" spans="90:94" ht="20.25" customHeight="1" x14ac:dyDescent="0.25">
      <c r="CL703" s="13"/>
      <c r="CM703" s="13"/>
      <c r="CN703" s="13"/>
      <c r="CO703" s="13"/>
      <c r="CP703" s="13"/>
    </row>
    <row r="704" spans="90:94" ht="20.25" customHeight="1" x14ac:dyDescent="0.25">
      <c r="CL704" s="13"/>
      <c r="CM704" s="13"/>
      <c r="CN704" s="13"/>
      <c r="CO704" s="13"/>
      <c r="CP704" s="13"/>
    </row>
    <row r="705" spans="90:94" ht="20.25" customHeight="1" x14ac:dyDescent="0.25">
      <c r="CL705" s="13"/>
      <c r="CM705" s="13"/>
      <c r="CN705" s="13"/>
      <c r="CO705" s="13"/>
      <c r="CP705" s="13"/>
    </row>
    <row r="706" spans="90:94" ht="20.25" customHeight="1" x14ac:dyDescent="0.25">
      <c r="CL706" s="13"/>
      <c r="CM706" s="13"/>
      <c r="CN706" s="13"/>
      <c r="CO706" s="13"/>
      <c r="CP706" s="13"/>
    </row>
    <row r="707" spans="90:94" ht="20.25" customHeight="1" x14ac:dyDescent="0.25">
      <c r="CL707" s="13"/>
      <c r="CM707" s="13"/>
      <c r="CN707" s="13"/>
      <c r="CO707" s="13"/>
      <c r="CP707" s="13"/>
    </row>
    <row r="708" spans="90:94" ht="20.25" customHeight="1" x14ac:dyDescent="0.25">
      <c r="CL708" s="13"/>
      <c r="CM708" s="13"/>
      <c r="CN708" s="13"/>
      <c r="CO708" s="13"/>
      <c r="CP708" s="13"/>
    </row>
    <row r="709" spans="90:94" ht="20.25" customHeight="1" x14ac:dyDescent="0.25">
      <c r="CL709" s="13"/>
      <c r="CM709" s="13"/>
      <c r="CN709" s="13"/>
      <c r="CO709" s="13"/>
      <c r="CP709" s="13"/>
    </row>
    <row r="710" spans="90:94" ht="20.25" customHeight="1" x14ac:dyDescent="0.25">
      <c r="CL710" s="13"/>
      <c r="CM710" s="13"/>
      <c r="CN710" s="13"/>
      <c r="CO710" s="13"/>
      <c r="CP710" s="13"/>
    </row>
    <row r="711" spans="90:94" ht="20.25" customHeight="1" x14ac:dyDescent="0.25">
      <c r="CL711" s="13"/>
      <c r="CM711" s="13"/>
      <c r="CN711" s="13"/>
      <c r="CO711" s="13"/>
      <c r="CP711" s="13"/>
    </row>
    <row r="712" spans="90:94" ht="20.25" customHeight="1" x14ac:dyDescent="0.25">
      <c r="CL712" s="13"/>
      <c r="CM712" s="13"/>
      <c r="CN712" s="13"/>
      <c r="CO712" s="13"/>
      <c r="CP712" s="13"/>
    </row>
    <row r="713" spans="90:94" ht="20.25" customHeight="1" x14ac:dyDescent="0.25">
      <c r="CL713" s="13"/>
      <c r="CM713" s="13"/>
      <c r="CN713" s="13"/>
      <c r="CO713" s="13"/>
      <c r="CP713" s="13"/>
    </row>
    <row r="714" spans="90:94" ht="20.25" customHeight="1" x14ac:dyDescent="0.25">
      <c r="CL714" s="13"/>
      <c r="CM714" s="13"/>
      <c r="CN714" s="13"/>
      <c r="CO714" s="13"/>
      <c r="CP714" s="13"/>
    </row>
    <row r="715" spans="90:94" ht="20.25" customHeight="1" x14ac:dyDescent="0.25">
      <c r="CL715" s="13"/>
      <c r="CM715" s="13"/>
      <c r="CN715" s="13"/>
      <c r="CO715" s="13"/>
      <c r="CP715" s="13"/>
    </row>
    <row r="716" spans="90:94" ht="20.25" customHeight="1" x14ac:dyDescent="0.25">
      <c r="CL716" s="13"/>
      <c r="CM716" s="13"/>
      <c r="CN716" s="13"/>
      <c r="CO716" s="13"/>
      <c r="CP716" s="13"/>
    </row>
    <row r="717" spans="90:94" ht="20.25" customHeight="1" x14ac:dyDescent="0.25">
      <c r="CL717" s="13"/>
      <c r="CM717" s="13"/>
      <c r="CN717" s="13"/>
      <c r="CO717" s="13"/>
      <c r="CP717" s="13"/>
    </row>
    <row r="718" spans="90:94" ht="20.25" customHeight="1" x14ac:dyDescent="0.25">
      <c r="CL718" s="13"/>
      <c r="CM718" s="13"/>
      <c r="CN718" s="13"/>
      <c r="CO718" s="13"/>
      <c r="CP718" s="13"/>
    </row>
    <row r="719" spans="90:94" ht="20.25" customHeight="1" x14ac:dyDescent="0.25">
      <c r="CL719" s="13"/>
      <c r="CM719" s="13"/>
      <c r="CN719" s="13"/>
      <c r="CO719" s="13"/>
      <c r="CP719" s="13"/>
    </row>
    <row r="720" spans="90:94" ht="20.25" customHeight="1" x14ac:dyDescent="0.25">
      <c r="CL720" s="13"/>
      <c r="CM720" s="13"/>
      <c r="CN720" s="13"/>
      <c r="CO720" s="13"/>
      <c r="CP720" s="13"/>
    </row>
    <row r="721" spans="90:94" ht="20.25" customHeight="1" x14ac:dyDescent="0.25">
      <c r="CL721" s="13"/>
      <c r="CM721" s="13"/>
      <c r="CN721" s="13"/>
      <c r="CO721" s="13"/>
      <c r="CP721" s="13"/>
    </row>
    <row r="722" spans="90:94" ht="20.25" customHeight="1" x14ac:dyDescent="0.25">
      <c r="CL722" s="13"/>
      <c r="CM722" s="13"/>
      <c r="CN722" s="13"/>
      <c r="CO722" s="13"/>
      <c r="CP722" s="13"/>
    </row>
    <row r="723" spans="90:94" ht="20.25" customHeight="1" x14ac:dyDescent="0.25">
      <c r="CL723" s="13"/>
      <c r="CM723" s="13"/>
      <c r="CN723" s="13"/>
      <c r="CO723" s="13"/>
      <c r="CP723" s="13"/>
    </row>
    <row r="724" spans="90:94" ht="20.25" customHeight="1" x14ac:dyDescent="0.25">
      <c r="CL724" s="13"/>
      <c r="CM724" s="13"/>
      <c r="CN724" s="13"/>
      <c r="CO724" s="13"/>
      <c r="CP724" s="13"/>
    </row>
    <row r="725" spans="90:94" ht="20.25" customHeight="1" x14ac:dyDescent="0.25">
      <c r="CL725" s="13"/>
      <c r="CM725" s="13"/>
      <c r="CN725" s="13"/>
      <c r="CO725" s="13"/>
      <c r="CP725" s="13"/>
    </row>
    <row r="726" spans="90:94" ht="20.25" customHeight="1" x14ac:dyDescent="0.25">
      <c r="CL726" s="13"/>
      <c r="CM726" s="13"/>
      <c r="CN726" s="13"/>
      <c r="CO726" s="13"/>
      <c r="CP726" s="13"/>
    </row>
    <row r="727" spans="90:94" ht="20.25" customHeight="1" x14ac:dyDescent="0.25">
      <c r="CL727" s="13"/>
      <c r="CM727" s="13"/>
      <c r="CN727" s="13"/>
      <c r="CO727" s="13"/>
      <c r="CP727" s="13"/>
    </row>
    <row r="728" spans="90:94" ht="20.25" customHeight="1" x14ac:dyDescent="0.25">
      <c r="CL728" s="13"/>
      <c r="CM728" s="13"/>
      <c r="CN728" s="13"/>
      <c r="CO728" s="13"/>
      <c r="CP728" s="13"/>
    </row>
    <row r="729" spans="90:94" ht="20.25" customHeight="1" x14ac:dyDescent="0.25">
      <c r="CL729" s="13"/>
      <c r="CM729" s="13"/>
      <c r="CN729" s="13"/>
      <c r="CO729" s="13"/>
      <c r="CP729" s="13"/>
    </row>
    <row r="730" spans="90:94" ht="20.25" customHeight="1" x14ac:dyDescent="0.25">
      <c r="CL730" s="13"/>
      <c r="CM730" s="13"/>
      <c r="CN730" s="13"/>
      <c r="CO730" s="13"/>
      <c r="CP730" s="13"/>
    </row>
    <row r="731" spans="90:94" ht="20.25" customHeight="1" x14ac:dyDescent="0.25">
      <c r="CL731" s="13"/>
      <c r="CM731" s="13"/>
      <c r="CN731" s="13"/>
      <c r="CO731" s="13"/>
      <c r="CP731" s="13"/>
    </row>
    <row r="732" spans="90:94" ht="20.25" customHeight="1" x14ac:dyDescent="0.25">
      <c r="CL732" s="13"/>
      <c r="CM732" s="13"/>
      <c r="CN732" s="13"/>
      <c r="CO732" s="13"/>
      <c r="CP732" s="13"/>
    </row>
    <row r="733" spans="90:94" ht="20.25" customHeight="1" x14ac:dyDescent="0.25">
      <c r="CL733" s="13"/>
      <c r="CM733" s="13"/>
      <c r="CN733" s="13"/>
      <c r="CO733" s="13"/>
      <c r="CP733" s="13"/>
    </row>
    <row r="734" spans="90:94" ht="20.25" customHeight="1" x14ac:dyDescent="0.25">
      <c r="CL734" s="13"/>
      <c r="CM734" s="13"/>
      <c r="CN734" s="13"/>
      <c r="CO734" s="13"/>
      <c r="CP734" s="13"/>
    </row>
    <row r="735" spans="90:94" ht="20.25" customHeight="1" x14ac:dyDescent="0.25">
      <c r="CL735" s="13"/>
      <c r="CM735" s="13"/>
      <c r="CN735" s="13"/>
      <c r="CO735" s="13"/>
      <c r="CP735" s="13"/>
    </row>
    <row r="736" spans="90:94" ht="20.25" customHeight="1" x14ac:dyDescent="0.25">
      <c r="CL736" s="13"/>
      <c r="CM736" s="13"/>
      <c r="CN736" s="13"/>
      <c r="CO736" s="13"/>
      <c r="CP736" s="13"/>
    </row>
    <row r="737" spans="90:94" ht="20.25" customHeight="1" x14ac:dyDescent="0.25">
      <c r="CL737" s="13"/>
      <c r="CM737" s="13"/>
      <c r="CN737" s="13"/>
      <c r="CO737" s="13"/>
      <c r="CP737" s="13"/>
    </row>
    <row r="738" spans="90:94" ht="20.25" customHeight="1" x14ac:dyDescent="0.25">
      <c r="CL738" s="13"/>
      <c r="CM738" s="13"/>
      <c r="CN738" s="13"/>
      <c r="CO738" s="13"/>
      <c r="CP738" s="13"/>
    </row>
    <row r="739" spans="90:94" ht="20.25" customHeight="1" x14ac:dyDescent="0.25">
      <c r="CL739" s="13"/>
      <c r="CM739" s="13"/>
      <c r="CN739" s="13"/>
      <c r="CO739" s="13"/>
      <c r="CP739" s="13"/>
    </row>
    <row r="740" spans="90:94" ht="20.25" customHeight="1" x14ac:dyDescent="0.25">
      <c r="CL740" s="13"/>
      <c r="CM740" s="13"/>
      <c r="CN740" s="13"/>
      <c r="CO740" s="13"/>
      <c r="CP740" s="13"/>
    </row>
    <row r="741" spans="90:94" ht="20.25" customHeight="1" x14ac:dyDescent="0.25">
      <c r="CL741" s="13"/>
      <c r="CM741" s="13"/>
      <c r="CN741" s="13"/>
      <c r="CO741" s="13"/>
      <c r="CP741" s="13"/>
    </row>
    <row r="742" spans="90:94" ht="20.25" customHeight="1" x14ac:dyDescent="0.25">
      <c r="CL742" s="13"/>
      <c r="CM742" s="13"/>
      <c r="CN742" s="13"/>
      <c r="CO742" s="13"/>
      <c r="CP742" s="13"/>
    </row>
    <row r="743" spans="90:94" ht="20.25" customHeight="1" x14ac:dyDescent="0.25">
      <c r="CL743" s="13"/>
      <c r="CM743" s="13"/>
      <c r="CN743" s="13"/>
      <c r="CO743" s="13"/>
      <c r="CP743" s="13"/>
    </row>
    <row r="744" spans="90:94" ht="20.25" customHeight="1" x14ac:dyDescent="0.25">
      <c r="CL744" s="13"/>
      <c r="CM744" s="13"/>
      <c r="CN744" s="13"/>
      <c r="CO744" s="13"/>
      <c r="CP744" s="13"/>
    </row>
    <row r="745" spans="90:94" ht="20.25" customHeight="1" x14ac:dyDescent="0.25">
      <c r="CL745" s="13"/>
      <c r="CM745" s="13"/>
      <c r="CN745" s="13"/>
      <c r="CO745" s="13"/>
      <c r="CP745" s="13"/>
    </row>
    <row r="746" spans="90:94" ht="20.25" customHeight="1" x14ac:dyDescent="0.25">
      <c r="CL746" s="13"/>
      <c r="CM746" s="13"/>
      <c r="CN746" s="13"/>
      <c r="CO746" s="13"/>
      <c r="CP746" s="13"/>
    </row>
    <row r="747" spans="90:94" ht="20.25" customHeight="1" x14ac:dyDescent="0.25">
      <c r="CL747" s="13"/>
      <c r="CM747" s="13"/>
      <c r="CN747" s="13"/>
      <c r="CO747" s="13"/>
      <c r="CP747" s="13"/>
    </row>
    <row r="748" spans="90:94" ht="20.25" customHeight="1" x14ac:dyDescent="0.25">
      <c r="CL748" s="13"/>
      <c r="CM748" s="13"/>
      <c r="CN748" s="13"/>
      <c r="CO748" s="13"/>
      <c r="CP748" s="13"/>
    </row>
    <row r="749" spans="90:94" ht="20.25" customHeight="1" x14ac:dyDescent="0.25">
      <c r="CL749" s="13"/>
      <c r="CM749" s="13"/>
      <c r="CN749" s="13"/>
      <c r="CO749" s="13"/>
      <c r="CP749" s="13"/>
    </row>
    <row r="750" spans="90:94" ht="20.25" customHeight="1" x14ac:dyDescent="0.25">
      <c r="CL750" s="13"/>
      <c r="CM750" s="13"/>
      <c r="CN750" s="13"/>
      <c r="CO750" s="13"/>
      <c r="CP750" s="13"/>
    </row>
    <row r="751" spans="90:94" ht="20.25" customHeight="1" x14ac:dyDescent="0.25">
      <c r="CL751" s="13"/>
      <c r="CM751" s="13"/>
      <c r="CN751" s="13"/>
      <c r="CO751" s="13"/>
      <c r="CP751" s="13"/>
    </row>
    <row r="752" spans="90:94" ht="20.25" customHeight="1" x14ac:dyDescent="0.25">
      <c r="CL752" s="13"/>
      <c r="CM752" s="13"/>
      <c r="CN752" s="13"/>
      <c r="CO752" s="13"/>
      <c r="CP752" s="13"/>
    </row>
    <row r="753" spans="90:94" ht="20.25" customHeight="1" x14ac:dyDescent="0.25">
      <c r="CL753" s="13"/>
      <c r="CM753" s="13"/>
      <c r="CN753" s="13"/>
      <c r="CO753" s="13"/>
      <c r="CP753" s="13"/>
    </row>
    <row r="754" spans="90:94" ht="20.25" customHeight="1" x14ac:dyDescent="0.25">
      <c r="CL754" s="13"/>
      <c r="CM754" s="13"/>
      <c r="CN754" s="13"/>
      <c r="CO754" s="13"/>
      <c r="CP754" s="13"/>
    </row>
    <row r="755" spans="90:94" ht="20.25" customHeight="1" x14ac:dyDescent="0.25">
      <c r="CL755" s="13"/>
      <c r="CM755" s="13"/>
      <c r="CN755" s="13"/>
      <c r="CO755" s="13"/>
      <c r="CP755" s="13"/>
    </row>
    <row r="756" spans="90:94" ht="20.25" customHeight="1" x14ac:dyDescent="0.25">
      <c r="CL756" s="13"/>
      <c r="CM756" s="13"/>
      <c r="CN756" s="13"/>
      <c r="CO756" s="13"/>
      <c r="CP756" s="13"/>
    </row>
    <row r="757" spans="90:94" ht="20.25" customHeight="1" x14ac:dyDescent="0.25">
      <c r="CL757" s="13"/>
      <c r="CM757" s="13"/>
      <c r="CN757" s="13"/>
      <c r="CO757" s="13"/>
      <c r="CP757" s="13"/>
    </row>
    <row r="758" spans="90:94" ht="20.25" customHeight="1" x14ac:dyDescent="0.25">
      <c r="CL758" s="13"/>
      <c r="CM758" s="13"/>
      <c r="CN758" s="13"/>
      <c r="CO758" s="13"/>
      <c r="CP758" s="13"/>
    </row>
    <row r="759" spans="90:94" ht="20.25" customHeight="1" x14ac:dyDescent="0.25">
      <c r="CL759" s="13"/>
      <c r="CM759" s="13"/>
      <c r="CN759" s="13"/>
      <c r="CO759" s="13"/>
      <c r="CP759" s="13"/>
    </row>
    <row r="760" spans="90:94" ht="20.25" customHeight="1" x14ac:dyDescent="0.25">
      <c r="CL760" s="13"/>
      <c r="CM760" s="13"/>
      <c r="CN760" s="13"/>
      <c r="CO760" s="13"/>
      <c r="CP760" s="13"/>
    </row>
    <row r="761" spans="90:94" ht="20.25" customHeight="1" x14ac:dyDescent="0.25">
      <c r="CL761" s="13"/>
      <c r="CM761" s="13"/>
      <c r="CN761" s="13"/>
      <c r="CO761" s="13"/>
      <c r="CP761" s="13"/>
    </row>
    <row r="762" spans="90:94" ht="20.25" customHeight="1" x14ac:dyDescent="0.25">
      <c r="CL762" s="13"/>
      <c r="CM762" s="13"/>
      <c r="CN762" s="13"/>
      <c r="CO762" s="13"/>
      <c r="CP762" s="13"/>
    </row>
    <row r="763" spans="90:94" ht="20.25" customHeight="1" x14ac:dyDescent="0.25">
      <c r="CL763" s="13"/>
      <c r="CM763" s="13"/>
      <c r="CN763" s="13"/>
      <c r="CO763" s="13"/>
      <c r="CP763" s="13"/>
    </row>
    <row r="764" spans="90:94" ht="20.25" customHeight="1" x14ac:dyDescent="0.25">
      <c r="CL764" s="13"/>
      <c r="CM764" s="13"/>
      <c r="CN764" s="13"/>
      <c r="CO764" s="13"/>
      <c r="CP764" s="13"/>
    </row>
    <row r="765" spans="90:94" ht="20.25" customHeight="1" x14ac:dyDescent="0.25">
      <c r="CL765" s="13"/>
      <c r="CM765" s="13"/>
      <c r="CN765" s="13"/>
      <c r="CO765" s="13"/>
      <c r="CP765" s="13"/>
    </row>
    <row r="766" spans="90:94" ht="20.25" customHeight="1" x14ac:dyDescent="0.25">
      <c r="CL766" s="13"/>
      <c r="CM766" s="13"/>
      <c r="CN766" s="13"/>
      <c r="CO766" s="13"/>
      <c r="CP766" s="13"/>
    </row>
    <row r="767" spans="90:94" ht="20.25" customHeight="1" x14ac:dyDescent="0.25">
      <c r="CL767" s="13"/>
      <c r="CM767" s="13"/>
      <c r="CN767" s="13"/>
      <c r="CO767" s="13"/>
      <c r="CP767" s="13"/>
    </row>
    <row r="768" spans="90:94" ht="20.25" customHeight="1" x14ac:dyDescent="0.25">
      <c r="CL768" s="13"/>
      <c r="CM768" s="13"/>
      <c r="CN768" s="13"/>
      <c r="CO768" s="13"/>
      <c r="CP768" s="13"/>
    </row>
    <row r="769" spans="90:94" ht="20.25" customHeight="1" x14ac:dyDescent="0.25">
      <c r="CL769" s="13"/>
      <c r="CM769" s="13"/>
      <c r="CN769" s="13"/>
      <c r="CO769" s="13"/>
      <c r="CP769" s="13"/>
    </row>
    <row r="770" spans="90:94" ht="20.25" customHeight="1" x14ac:dyDescent="0.25">
      <c r="CL770" s="13"/>
      <c r="CM770" s="13"/>
      <c r="CN770" s="13"/>
      <c r="CO770" s="13"/>
      <c r="CP770" s="13"/>
    </row>
    <row r="771" spans="90:94" ht="20.25" customHeight="1" x14ac:dyDescent="0.25">
      <c r="CL771" s="13"/>
      <c r="CM771" s="13"/>
      <c r="CN771" s="13"/>
      <c r="CO771" s="13"/>
      <c r="CP771" s="13"/>
    </row>
    <row r="772" spans="90:94" ht="20.25" customHeight="1" x14ac:dyDescent="0.25">
      <c r="CL772" s="13"/>
      <c r="CM772" s="13"/>
      <c r="CN772" s="13"/>
      <c r="CO772" s="13"/>
      <c r="CP772" s="13"/>
    </row>
    <row r="773" spans="90:94" ht="20.25" customHeight="1" x14ac:dyDescent="0.25">
      <c r="CL773" s="13"/>
      <c r="CM773" s="13"/>
      <c r="CN773" s="13"/>
      <c r="CO773" s="13"/>
      <c r="CP773" s="13"/>
    </row>
    <row r="774" spans="90:94" ht="20.25" customHeight="1" x14ac:dyDescent="0.25">
      <c r="CL774" s="13"/>
      <c r="CM774" s="13"/>
      <c r="CN774" s="13"/>
      <c r="CO774" s="13"/>
      <c r="CP774" s="13"/>
    </row>
    <row r="775" spans="90:94" ht="20.25" customHeight="1" x14ac:dyDescent="0.25">
      <c r="CL775" s="13"/>
      <c r="CM775" s="13"/>
      <c r="CN775" s="13"/>
      <c r="CO775" s="13"/>
      <c r="CP775" s="13"/>
    </row>
    <row r="776" spans="90:94" ht="20.25" customHeight="1" x14ac:dyDescent="0.25">
      <c r="CL776" s="13"/>
      <c r="CM776" s="13"/>
      <c r="CN776" s="13"/>
      <c r="CO776" s="13"/>
      <c r="CP776" s="13"/>
    </row>
    <row r="777" spans="90:94" ht="20.25" customHeight="1" x14ac:dyDescent="0.25">
      <c r="CL777" s="13"/>
      <c r="CM777" s="13"/>
      <c r="CN777" s="13"/>
      <c r="CO777" s="13"/>
      <c r="CP777" s="13"/>
    </row>
    <row r="778" spans="90:94" ht="20.25" customHeight="1" x14ac:dyDescent="0.25">
      <c r="CL778" s="13"/>
      <c r="CM778" s="13"/>
      <c r="CN778" s="13"/>
      <c r="CO778" s="13"/>
      <c r="CP778" s="13"/>
    </row>
    <row r="779" spans="90:94" ht="20.25" customHeight="1" x14ac:dyDescent="0.25">
      <c r="CL779" s="13"/>
      <c r="CM779" s="13"/>
      <c r="CN779" s="13"/>
      <c r="CO779" s="13"/>
      <c r="CP779" s="13"/>
    </row>
    <row r="780" spans="90:94" ht="20.25" customHeight="1" x14ac:dyDescent="0.25">
      <c r="CL780" s="13"/>
      <c r="CM780" s="13"/>
      <c r="CN780" s="13"/>
      <c r="CO780" s="13"/>
      <c r="CP780" s="13"/>
    </row>
    <row r="781" spans="90:94" ht="20.25" customHeight="1" x14ac:dyDescent="0.25">
      <c r="CL781" s="13"/>
      <c r="CM781" s="13"/>
      <c r="CN781" s="13"/>
      <c r="CO781" s="13"/>
      <c r="CP781" s="13"/>
    </row>
    <row r="782" spans="90:94" ht="20.25" customHeight="1" x14ac:dyDescent="0.25">
      <c r="CL782" s="13"/>
      <c r="CM782" s="13"/>
      <c r="CN782" s="13"/>
      <c r="CO782" s="13"/>
      <c r="CP782" s="13"/>
    </row>
    <row r="783" spans="90:94" ht="20.25" customHeight="1" x14ac:dyDescent="0.25">
      <c r="CL783" s="13"/>
      <c r="CM783" s="13"/>
      <c r="CN783" s="13"/>
      <c r="CO783" s="13"/>
      <c r="CP783" s="13"/>
    </row>
    <row r="784" spans="90:94" ht="20.25" customHeight="1" x14ac:dyDescent="0.25">
      <c r="CL784" s="13"/>
      <c r="CM784" s="13"/>
      <c r="CN784" s="13"/>
      <c r="CO784" s="13"/>
      <c r="CP784" s="13"/>
    </row>
    <row r="785" spans="90:94" ht="20.25" customHeight="1" x14ac:dyDescent="0.25">
      <c r="CL785" s="13"/>
      <c r="CM785" s="13"/>
      <c r="CN785" s="13"/>
      <c r="CO785" s="13"/>
      <c r="CP785" s="13"/>
    </row>
    <row r="786" spans="90:94" ht="20.25" customHeight="1" x14ac:dyDescent="0.25">
      <c r="CL786" s="13"/>
      <c r="CM786" s="13"/>
      <c r="CN786" s="13"/>
      <c r="CO786" s="13"/>
      <c r="CP786" s="13"/>
    </row>
    <row r="787" spans="90:94" ht="20.25" customHeight="1" x14ac:dyDescent="0.25">
      <c r="CL787" s="13"/>
      <c r="CM787" s="13"/>
      <c r="CN787" s="13"/>
      <c r="CO787" s="13"/>
      <c r="CP787" s="13"/>
    </row>
    <row r="788" spans="90:94" ht="20.25" customHeight="1" x14ac:dyDescent="0.25">
      <c r="CL788" s="13"/>
      <c r="CM788" s="13"/>
      <c r="CN788" s="13"/>
      <c r="CO788" s="13"/>
      <c r="CP788" s="13"/>
    </row>
    <row r="789" spans="90:94" ht="20.25" customHeight="1" x14ac:dyDescent="0.25">
      <c r="CL789" s="13"/>
      <c r="CM789" s="13"/>
      <c r="CN789" s="13"/>
      <c r="CO789" s="13"/>
      <c r="CP789" s="13"/>
    </row>
    <row r="790" spans="90:94" ht="20.25" customHeight="1" x14ac:dyDescent="0.25">
      <c r="CL790" s="13"/>
      <c r="CM790" s="13"/>
      <c r="CN790" s="13"/>
      <c r="CO790" s="13"/>
      <c r="CP790" s="13"/>
    </row>
    <row r="791" spans="90:94" ht="20.25" customHeight="1" x14ac:dyDescent="0.25">
      <c r="CL791" s="13"/>
      <c r="CM791" s="13"/>
      <c r="CN791" s="13"/>
      <c r="CO791" s="13"/>
      <c r="CP791" s="13"/>
    </row>
    <row r="792" spans="90:94" ht="20.25" customHeight="1" x14ac:dyDescent="0.25">
      <c r="CL792" s="13"/>
      <c r="CM792" s="13"/>
      <c r="CN792" s="13"/>
      <c r="CO792" s="13"/>
      <c r="CP792" s="13"/>
    </row>
    <row r="793" spans="90:94" ht="20.25" customHeight="1" x14ac:dyDescent="0.25">
      <c r="CL793" s="13"/>
      <c r="CM793" s="13"/>
      <c r="CN793" s="13"/>
      <c r="CO793" s="13"/>
      <c r="CP793" s="13"/>
    </row>
    <row r="794" spans="90:94" ht="20.25" customHeight="1" x14ac:dyDescent="0.25">
      <c r="CL794" s="13"/>
      <c r="CM794" s="13"/>
      <c r="CN794" s="13"/>
      <c r="CO794" s="13"/>
      <c r="CP794" s="13"/>
    </row>
    <row r="795" spans="90:94" ht="20.25" customHeight="1" x14ac:dyDescent="0.25">
      <c r="CL795" s="13"/>
      <c r="CM795" s="13"/>
      <c r="CN795" s="13"/>
      <c r="CO795" s="13"/>
      <c r="CP795" s="13"/>
    </row>
    <row r="796" spans="90:94" ht="20.25" customHeight="1" x14ac:dyDescent="0.25">
      <c r="CL796" s="13"/>
      <c r="CM796" s="13"/>
      <c r="CN796" s="13"/>
      <c r="CO796" s="13"/>
      <c r="CP796" s="13"/>
    </row>
    <row r="797" spans="90:94" ht="20.25" customHeight="1" x14ac:dyDescent="0.25">
      <c r="CL797" s="13"/>
      <c r="CM797" s="13"/>
      <c r="CN797" s="13"/>
      <c r="CO797" s="13"/>
      <c r="CP797" s="13"/>
    </row>
    <row r="798" spans="90:94" ht="20.25" customHeight="1" x14ac:dyDescent="0.25">
      <c r="CL798" s="13"/>
      <c r="CM798" s="13"/>
      <c r="CN798" s="13"/>
      <c r="CO798" s="13"/>
      <c r="CP798" s="13"/>
    </row>
    <row r="799" spans="90:94" ht="20.25" customHeight="1" x14ac:dyDescent="0.25">
      <c r="CL799" s="13"/>
      <c r="CM799" s="13"/>
      <c r="CN799" s="13"/>
      <c r="CO799" s="13"/>
      <c r="CP799" s="13"/>
    </row>
    <row r="800" spans="90:94" ht="20.25" customHeight="1" x14ac:dyDescent="0.25">
      <c r="CL800" s="13"/>
      <c r="CM800" s="13"/>
      <c r="CN800" s="13"/>
      <c r="CO800" s="13"/>
      <c r="CP800" s="13"/>
    </row>
    <row r="801" spans="90:94" ht="20.25" customHeight="1" x14ac:dyDescent="0.25">
      <c r="CL801" s="13"/>
      <c r="CM801" s="13"/>
      <c r="CN801" s="13"/>
      <c r="CO801" s="13"/>
      <c r="CP801" s="13"/>
    </row>
    <row r="802" spans="90:94" ht="20.25" customHeight="1" x14ac:dyDescent="0.25">
      <c r="CL802" s="13"/>
      <c r="CM802" s="13"/>
      <c r="CN802" s="13"/>
      <c r="CO802" s="13"/>
      <c r="CP802" s="13"/>
    </row>
    <row r="803" spans="90:94" ht="20.25" customHeight="1" x14ac:dyDescent="0.25">
      <c r="CL803" s="13"/>
      <c r="CM803" s="13"/>
      <c r="CN803" s="13"/>
      <c r="CO803" s="13"/>
      <c r="CP803" s="13"/>
    </row>
    <row r="804" spans="90:94" ht="20.25" customHeight="1" x14ac:dyDescent="0.25">
      <c r="CL804" s="13"/>
      <c r="CM804" s="13"/>
      <c r="CN804" s="13"/>
      <c r="CO804" s="13"/>
      <c r="CP804" s="13"/>
    </row>
    <row r="805" spans="90:94" ht="20.25" customHeight="1" x14ac:dyDescent="0.25">
      <c r="CL805" s="13"/>
      <c r="CM805" s="13"/>
      <c r="CN805" s="13"/>
      <c r="CO805" s="13"/>
      <c r="CP805" s="13"/>
    </row>
    <row r="806" spans="90:94" ht="20.25" customHeight="1" x14ac:dyDescent="0.25">
      <c r="CL806" s="13"/>
      <c r="CM806" s="13"/>
      <c r="CN806" s="13"/>
      <c r="CO806" s="13"/>
      <c r="CP806" s="13"/>
    </row>
    <row r="807" spans="90:94" ht="20.25" customHeight="1" x14ac:dyDescent="0.25">
      <c r="CL807" s="13"/>
      <c r="CM807" s="13"/>
      <c r="CN807" s="13"/>
      <c r="CO807" s="13"/>
      <c r="CP807" s="13"/>
    </row>
    <row r="808" spans="90:94" ht="20.25" customHeight="1" x14ac:dyDescent="0.25">
      <c r="CL808" s="13"/>
      <c r="CM808" s="13"/>
      <c r="CN808" s="13"/>
      <c r="CO808" s="13"/>
      <c r="CP808" s="13"/>
    </row>
    <row r="809" spans="90:94" ht="20.25" customHeight="1" x14ac:dyDescent="0.25">
      <c r="CL809" s="13"/>
      <c r="CM809" s="13"/>
      <c r="CN809" s="13"/>
      <c r="CO809" s="13"/>
      <c r="CP809" s="13"/>
    </row>
    <row r="810" spans="90:94" ht="20.25" customHeight="1" x14ac:dyDescent="0.25">
      <c r="CL810" s="13"/>
      <c r="CM810" s="13"/>
      <c r="CN810" s="13"/>
      <c r="CO810" s="13"/>
      <c r="CP810" s="13"/>
    </row>
    <row r="811" spans="90:94" ht="20.25" customHeight="1" x14ac:dyDescent="0.25">
      <c r="CL811" s="13"/>
      <c r="CM811" s="13"/>
      <c r="CN811" s="13"/>
      <c r="CO811" s="13"/>
      <c r="CP811" s="13"/>
    </row>
    <row r="812" spans="90:94" ht="20.25" customHeight="1" x14ac:dyDescent="0.25">
      <c r="CL812" s="13"/>
      <c r="CM812" s="13"/>
      <c r="CN812" s="13"/>
      <c r="CO812" s="13"/>
      <c r="CP812" s="13"/>
    </row>
    <row r="813" spans="90:94" ht="20.25" customHeight="1" x14ac:dyDescent="0.25">
      <c r="CL813" s="13"/>
      <c r="CM813" s="13"/>
      <c r="CN813" s="13"/>
      <c r="CO813" s="13"/>
      <c r="CP813" s="13"/>
    </row>
    <row r="814" spans="90:94" ht="20.25" customHeight="1" x14ac:dyDescent="0.25">
      <c r="CL814" s="13"/>
      <c r="CM814" s="13"/>
      <c r="CN814" s="13"/>
      <c r="CO814" s="13"/>
      <c r="CP814" s="13"/>
    </row>
    <row r="815" spans="90:94" ht="20.25" customHeight="1" x14ac:dyDescent="0.25">
      <c r="CL815" s="13"/>
      <c r="CM815" s="13"/>
      <c r="CN815" s="13"/>
      <c r="CO815" s="13"/>
      <c r="CP815" s="13"/>
    </row>
    <row r="816" spans="90:94" ht="20.25" customHeight="1" x14ac:dyDescent="0.25">
      <c r="CL816" s="13"/>
      <c r="CM816" s="13"/>
      <c r="CN816" s="13"/>
      <c r="CO816" s="13"/>
      <c r="CP816" s="13"/>
    </row>
    <row r="817" spans="90:94" ht="20.25" customHeight="1" x14ac:dyDescent="0.25">
      <c r="CL817" s="13"/>
      <c r="CM817" s="13"/>
      <c r="CN817" s="13"/>
      <c r="CO817" s="13"/>
      <c r="CP817" s="13"/>
    </row>
    <row r="818" spans="90:94" ht="20.25" customHeight="1" x14ac:dyDescent="0.25">
      <c r="CL818" s="13"/>
      <c r="CM818" s="13"/>
      <c r="CN818" s="13"/>
      <c r="CO818" s="13"/>
      <c r="CP818" s="13"/>
    </row>
    <row r="819" spans="90:94" ht="20.25" customHeight="1" x14ac:dyDescent="0.25">
      <c r="CL819" s="13"/>
      <c r="CM819" s="13"/>
      <c r="CN819" s="13"/>
      <c r="CO819" s="13"/>
      <c r="CP819" s="13"/>
    </row>
    <row r="820" spans="90:94" ht="20.25" customHeight="1" x14ac:dyDescent="0.25">
      <c r="CL820" s="13"/>
      <c r="CM820" s="13"/>
      <c r="CN820" s="13"/>
      <c r="CO820" s="13"/>
      <c r="CP820" s="13"/>
    </row>
    <row r="821" spans="90:94" ht="20.25" customHeight="1" x14ac:dyDescent="0.25">
      <c r="CL821" s="13"/>
      <c r="CM821" s="13"/>
      <c r="CN821" s="13"/>
      <c r="CO821" s="13"/>
      <c r="CP821" s="13"/>
    </row>
    <row r="822" spans="90:94" ht="20.25" customHeight="1" x14ac:dyDescent="0.25">
      <c r="CL822" s="13"/>
      <c r="CM822" s="13"/>
      <c r="CN822" s="13"/>
      <c r="CO822" s="13"/>
      <c r="CP822" s="13"/>
    </row>
    <row r="823" spans="90:94" ht="20.25" customHeight="1" x14ac:dyDescent="0.25">
      <c r="CL823" s="13"/>
      <c r="CM823" s="13"/>
      <c r="CN823" s="13"/>
      <c r="CO823" s="13"/>
      <c r="CP823" s="13"/>
    </row>
    <row r="824" spans="90:94" ht="20.25" customHeight="1" x14ac:dyDescent="0.25">
      <c r="CL824" s="13"/>
      <c r="CM824" s="13"/>
      <c r="CN824" s="13"/>
      <c r="CO824" s="13"/>
      <c r="CP824" s="13"/>
    </row>
    <row r="825" spans="90:94" ht="20.25" customHeight="1" x14ac:dyDescent="0.25">
      <c r="CL825" s="13"/>
      <c r="CM825" s="13"/>
      <c r="CN825" s="13"/>
      <c r="CO825" s="13"/>
      <c r="CP825" s="13"/>
    </row>
    <row r="826" spans="90:94" ht="20.25" customHeight="1" x14ac:dyDescent="0.25">
      <c r="CL826" s="13"/>
      <c r="CM826" s="13"/>
      <c r="CN826" s="13"/>
      <c r="CO826" s="13"/>
      <c r="CP826" s="13"/>
    </row>
    <row r="827" spans="90:94" ht="20.25" customHeight="1" x14ac:dyDescent="0.25">
      <c r="CL827" s="13"/>
      <c r="CM827" s="13"/>
      <c r="CN827" s="13"/>
      <c r="CO827" s="13"/>
      <c r="CP827" s="13"/>
    </row>
    <row r="828" spans="90:94" ht="20.25" customHeight="1" x14ac:dyDescent="0.25">
      <c r="CL828" s="13"/>
      <c r="CM828" s="13"/>
      <c r="CN828" s="13"/>
      <c r="CO828" s="13"/>
      <c r="CP828" s="13"/>
    </row>
    <row r="829" spans="90:94" ht="20.25" customHeight="1" x14ac:dyDescent="0.25">
      <c r="CL829" s="13"/>
      <c r="CM829" s="13"/>
      <c r="CN829" s="13"/>
      <c r="CO829" s="13"/>
      <c r="CP829" s="13"/>
    </row>
    <row r="830" spans="90:94" ht="20.25" customHeight="1" x14ac:dyDescent="0.25">
      <c r="CL830" s="13"/>
      <c r="CM830" s="13"/>
      <c r="CN830" s="13"/>
      <c r="CO830" s="13"/>
      <c r="CP830" s="13"/>
    </row>
    <row r="831" spans="90:94" ht="20.25" customHeight="1" x14ac:dyDescent="0.25">
      <c r="CL831" s="13"/>
      <c r="CM831" s="13"/>
      <c r="CN831" s="13"/>
      <c r="CO831" s="13"/>
      <c r="CP831" s="13"/>
    </row>
    <row r="832" spans="90:94" ht="20.25" customHeight="1" x14ac:dyDescent="0.25">
      <c r="CL832" s="13"/>
      <c r="CM832" s="13"/>
      <c r="CN832" s="13"/>
      <c r="CO832" s="13"/>
      <c r="CP832" s="13"/>
    </row>
    <row r="833" spans="90:94" ht="20.25" customHeight="1" x14ac:dyDescent="0.25">
      <c r="CL833" s="13"/>
      <c r="CM833" s="13"/>
      <c r="CN833" s="13"/>
      <c r="CO833" s="13"/>
      <c r="CP833" s="13"/>
    </row>
    <row r="834" spans="90:94" ht="20.25" customHeight="1" x14ac:dyDescent="0.25">
      <c r="CL834" s="13"/>
      <c r="CM834" s="13"/>
      <c r="CN834" s="13"/>
      <c r="CO834" s="13"/>
      <c r="CP834" s="13"/>
    </row>
    <row r="835" spans="90:94" ht="20.25" customHeight="1" x14ac:dyDescent="0.25">
      <c r="CL835" s="13"/>
      <c r="CM835" s="13"/>
      <c r="CN835" s="13"/>
      <c r="CO835" s="13"/>
      <c r="CP835" s="13"/>
    </row>
    <row r="836" spans="90:94" ht="20.25" customHeight="1" x14ac:dyDescent="0.25">
      <c r="CL836" s="13"/>
      <c r="CM836" s="13"/>
      <c r="CN836" s="13"/>
      <c r="CO836" s="13"/>
      <c r="CP836" s="13"/>
    </row>
    <row r="837" spans="90:94" ht="20.25" customHeight="1" x14ac:dyDescent="0.25">
      <c r="CL837" s="13"/>
      <c r="CM837" s="13"/>
      <c r="CN837" s="13"/>
      <c r="CO837" s="13"/>
      <c r="CP837" s="13"/>
    </row>
    <row r="838" spans="90:94" ht="20.25" customHeight="1" x14ac:dyDescent="0.25">
      <c r="CL838" s="13"/>
      <c r="CM838" s="13"/>
      <c r="CN838" s="13"/>
      <c r="CO838" s="13"/>
      <c r="CP838" s="13"/>
    </row>
    <row r="839" spans="90:94" ht="20.25" customHeight="1" x14ac:dyDescent="0.25">
      <c r="CL839" s="13"/>
      <c r="CM839" s="13"/>
      <c r="CN839" s="13"/>
      <c r="CO839" s="13"/>
      <c r="CP839" s="13"/>
    </row>
    <row r="840" spans="90:94" ht="20.25" customHeight="1" x14ac:dyDescent="0.25">
      <c r="CL840" s="13"/>
      <c r="CM840" s="13"/>
      <c r="CN840" s="13"/>
      <c r="CO840" s="13"/>
      <c r="CP840" s="13"/>
    </row>
    <row r="841" spans="90:94" ht="20.25" customHeight="1" x14ac:dyDescent="0.25">
      <c r="CL841" s="13"/>
      <c r="CM841" s="13"/>
      <c r="CN841" s="13"/>
      <c r="CO841" s="13"/>
      <c r="CP841" s="13"/>
    </row>
    <row r="842" spans="90:94" ht="20.25" customHeight="1" x14ac:dyDescent="0.25">
      <c r="CL842" s="13"/>
      <c r="CM842" s="13"/>
      <c r="CN842" s="13"/>
      <c r="CO842" s="13"/>
      <c r="CP842" s="13"/>
    </row>
    <row r="843" spans="90:94" ht="20.25" customHeight="1" x14ac:dyDescent="0.25">
      <c r="CL843" s="13"/>
      <c r="CM843" s="13"/>
      <c r="CN843" s="13"/>
      <c r="CO843" s="13"/>
      <c r="CP843" s="13"/>
    </row>
    <row r="844" spans="90:94" ht="20.25" customHeight="1" x14ac:dyDescent="0.25">
      <c r="CL844" s="13"/>
      <c r="CM844" s="13"/>
      <c r="CN844" s="13"/>
      <c r="CO844" s="13"/>
      <c r="CP844" s="13"/>
    </row>
    <row r="845" spans="90:94" ht="20.25" customHeight="1" x14ac:dyDescent="0.25">
      <c r="CL845" s="13"/>
      <c r="CM845" s="13"/>
      <c r="CN845" s="13"/>
      <c r="CO845" s="13"/>
      <c r="CP845" s="13"/>
    </row>
    <row r="846" spans="90:94" ht="20.25" customHeight="1" x14ac:dyDescent="0.25">
      <c r="CL846" s="13"/>
      <c r="CM846" s="13"/>
      <c r="CN846" s="13"/>
      <c r="CO846" s="13"/>
      <c r="CP846" s="13"/>
    </row>
    <row r="847" spans="90:94" ht="20.25" customHeight="1" x14ac:dyDescent="0.25">
      <c r="CL847" s="13"/>
      <c r="CM847" s="13"/>
      <c r="CN847" s="13"/>
      <c r="CO847" s="13"/>
      <c r="CP847" s="13"/>
    </row>
    <row r="848" spans="90:94" ht="20.25" customHeight="1" x14ac:dyDescent="0.25">
      <c r="CL848" s="13"/>
      <c r="CM848" s="13"/>
      <c r="CN848" s="13"/>
      <c r="CO848" s="13"/>
      <c r="CP848" s="13"/>
    </row>
    <row r="849" spans="90:94" ht="20.25" customHeight="1" x14ac:dyDescent="0.25">
      <c r="CL849" s="13"/>
      <c r="CM849" s="13"/>
      <c r="CN849" s="13"/>
      <c r="CO849" s="13"/>
      <c r="CP849" s="13"/>
    </row>
    <row r="850" spans="90:94" ht="20.25" customHeight="1" x14ac:dyDescent="0.25">
      <c r="CL850" s="13"/>
      <c r="CM850" s="13"/>
      <c r="CN850" s="13"/>
      <c r="CO850" s="13"/>
      <c r="CP850" s="13"/>
    </row>
    <row r="851" spans="90:94" ht="20.25" customHeight="1" x14ac:dyDescent="0.25">
      <c r="CL851" s="13"/>
      <c r="CM851" s="13"/>
      <c r="CN851" s="13"/>
      <c r="CO851" s="13"/>
      <c r="CP851" s="13"/>
    </row>
    <row r="852" spans="90:94" ht="20.25" customHeight="1" x14ac:dyDescent="0.25">
      <c r="CL852" s="13"/>
      <c r="CM852" s="13"/>
      <c r="CN852" s="13"/>
      <c r="CO852" s="13"/>
      <c r="CP852" s="13"/>
    </row>
    <row r="853" spans="90:94" ht="20.25" customHeight="1" x14ac:dyDescent="0.25">
      <c r="CL853" s="13"/>
      <c r="CM853" s="13"/>
      <c r="CN853" s="13"/>
      <c r="CO853" s="13"/>
      <c r="CP853" s="13"/>
    </row>
    <row r="854" spans="90:94" ht="20.25" customHeight="1" x14ac:dyDescent="0.25">
      <c r="CL854" s="13"/>
      <c r="CM854" s="13"/>
      <c r="CN854" s="13"/>
      <c r="CO854" s="13"/>
      <c r="CP854" s="13"/>
    </row>
    <row r="855" spans="90:94" ht="20.25" customHeight="1" x14ac:dyDescent="0.25">
      <c r="CL855" s="13"/>
      <c r="CM855" s="13"/>
      <c r="CN855" s="13"/>
      <c r="CO855" s="13"/>
      <c r="CP855" s="13"/>
    </row>
    <row r="856" spans="90:94" ht="20.25" customHeight="1" x14ac:dyDescent="0.25">
      <c r="CL856" s="13"/>
      <c r="CM856" s="13"/>
      <c r="CN856" s="13"/>
      <c r="CO856" s="13"/>
      <c r="CP856" s="13"/>
    </row>
    <row r="857" spans="90:94" ht="20.25" customHeight="1" x14ac:dyDescent="0.25">
      <c r="CL857" s="13"/>
      <c r="CM857" s="13"/>
      <c r="CN857" s="13"/>
      <c r="CO857" s="13"/>
      <c r="CP857" s="13"/>
    </row>
    <row r="858" spans="90:94" ht="20.25" customHeight="1" x14ac:dyDescent="0.25">
      <c r="CL858" s="13"/>
      <c r="CM858" s="13"/>
      <c r="CN858" s="13"/>
      <c r="CO858" s="13"/>
      <c r="CP858" s="13"/>
    </row>
    <row r="859" spans="90:94" ht="20.25" customHeight="1" x14ac:dyDescent="0.25">
      <c r="CL859" s="13"/>
      <c r="CM859" s="13"/>
      <c r="CN859" s="13"/>
      <c r="CO859" s="13"/>
      <c r="CP859" s="13"/>
    </row>
    <row r="860" spans="90:94" ht="20.25" customHeight="1" x14ac:dyDescent="0.25">
      <c r="CL860" s="13"/>
      <c r="CM860" s="13"/>
      <c r="CN860" s="13"/>
      <c r="CO860" s="13"/>
      <c r="CP860" s="13"/>
    </row>
    <row r="861" spans="90:94" ht="20.25" customHeight="1" x14ac:dyDescent="0.25">
      <c r="CL861" s="13"/>
      <c r="CM861" s="13"/>
      <c r="CN861" s="13"/>
      <c r="CO861" s="13"/>
      <c r="CP861" s="13"/>
    </row>
    <row r="862" spans="90:94" ht="20.25" customHeight="1" x14ac:dyDescent="0.25">
      <c r="CL862" s="13"/>
      <c r="CM862" s="13"/>
      <c r="CN862" s="13"/>
      <c r="CO862" s="13"/>
      <c r="CP862" s="13"/>
    </row>
    <row r="863" spans="90:94" ht="20.25" customHeight="1" x14ac:dyDescent="0.25">
      <c r="CL863" s="13"/>
      <c r="CM863" s="13"/>
      <c r="CN863" s="13"/>
      <c r="CO863" s="13"/>
      <c r="CP863" s="13"/>
    </row>
    <row r="864" spans="90:94" ht="20.25" customHeight="1" x14ac:dyDescent="0.25">
      <c r="CL864" s="13"/>
      <c r="CM864" s="13"/>
      <c r="CN864" s="13"/>
      <c r="CO864" s="13"/>
      <c r="CP864" s="13"/>
    </row>
    <row r="865" spans="90:94" ht="20.25" customHeight="1" x14ac:dyDescent="0.25">
      <c r="CL865" s="13"/>
      <c r="CM865" s="13"/>
      <c r="CN865" s="13"/>
      <c r="CO865" s="13"/>
      <c r="CP865" s="13"/>
    </row>
    <row r="866" spans="90:94" ht="20.25" customHeight="1" x14ac:dyDescent="0.25">
      <c r="CL866" s="13"/>
      <c r="CM866" s="13"/>
      <c r="CN866" s="13"/>
      <c r="CO866" s="13"/>
      <c r="CP866" s="13"/>
    </row>
    <row r="867" spans="90:94" ht="20.25" customHeight="1" x14ac:dyDescent="0.25">
      <c r="CL867" s="13"/>
      <c r="CM867" s="13"/>
      <c r="CN867" s="13"/>
      <c r="CO867" s="13"/>
      <c r="CP867" s="13"/>
    </row>
    <row r="868" spans="90:94" ht="20.25" customHeight="1" x14ac:dyDescent="0.25">
      <c r="CL868" s="13"/>
      <c r="CM868" s="13"/>
      <c r="CN868" s="13"/>
      <c r="CO868" s="13"/>
      <c r="CP868" s="13"/>
    </row>
    <row r="869" spans="90:94" ht="20.25" customHeight="1" x14ac:dyDescent="0.25">
      <c r="CL869" s="13"/>
      <c r="CM869" s="13"/>
      <c r="CN869" s="13"/>
      <c r="CO869" s="13"/>
      <c r="CP869" s="13"/>
    </row>
    <row r="870" spans="90:94" ht="20.25" customHeight="1" x14ac:dyDescent="0.25">
      <c r="CL870" s="13"/>
      <c r="CM870" s="13"/>
      <c r="CN870" s="13"/>
      <c r="CO870" s="13"/>
      <c r="CP870" s="13"/>
    </row>
    <row r="871" spans="90:94" ht="20.25" customHeight="1" x14ac:dyDescent="0.25">
      <c r="CL871" s="13"/>
      <c r="CM871" s="13"/>
      <c r="CN871" s="13"/>
      <c r="CO871" s="13"/>
      <c r="CP871" s="13"/>
    </row>
    <row r="872" spans="90:94" ht="20.25" customHeight="1" x14ac:dyDescent="0.25">
      <c r="CL872" s="13"/>
      <c r="CM872" s="13"/>
      <c r="CN872" s="13"/>
      <c r="CO872" s="13"/>
      <c r="CP872" s="13"/>
    </row>
    <row r="873" spans="90:94" ht="20.25" customHeight="1" x14ac:dyDescent="0.25">
      <c r="CL873" s="13"/>
      <c r="CM873" s="13"/>
      <c r="CN873" s="13"/>
      <c r="CO873" s="13"/>
      <c r="CP873" s="13"/>
    </row>
    <row r="874" spans="90:94" ht="20.25" customHeight="1" x14ac:dyDescent="0.25">
      <c r="CL874" s="13"/>
      <c r="CM874" s="13"/>
      <c r="CN874" s="13"/>
      <c r="CO874" s="13"/>
      <c r="CP874" s="13"/>
    </row>
    <row r="875" spans="90:94" ht="20.25" customHeight="1" x14ac:dyDescent="0.25">
      <c r="CL875" s="13"/>
      <c r="CM875" s="13"/>
      <c r="CN875" s="13"/>
      <c r="CO875" s="13"/>
      <c r="CP875" s="13"/>
    </row>
    <row r="876" spans="90:94" ht="20.25" customHeight="1" x14ac:dyDescent="0.25">
      <c r="CL876" s="13"/>
      <c r="CM876" s="13"/>
      <c r="CN876" s="13"/>
      <c r="CO876" s="13"/>
      <c r="CP876" s="13"/>
    </row>
    <row r="877" spans="90:94" ht="20.25" customHeight="1" x14ac:dyDescent="0.25">
      <c r="CL877" s="13"/>
      <c r="CM877" s="13"/>
      <c r="CN877" s="13"/>
      <c r="CO877" s="13"/>
      <c r="CP877" s="13"/>
    </row>
    <row r="878" spans="90:94" ht="20.25" customHeight="1" x14ac:dyDescent="0.25">
      <c r="CL878" s="13"/>
      <c r="CM878" s="13"/>
      <c r="CN878" s="13"/>
      <c r="CO878" s="13"/>
      <c r="CP878" s="13"/>
    </row>
    <row r="879" spans="90:94" ht="20.25" customHeight="1" x14ac:dyDescent="0.25">
      <c r="CL879" s="13"/>
      <c r="CM879" s="13"/>
      <c r="CN879" s="13"/>
      <c r="CO879" s="13"/>
      <c r="CP879" s="13"/>
    </row>
    <row r="880" spans="90:94" ht="20.25" customHeight="1" x14ac:dyDescent="0.25">
      <c r="CL880" s="13"/>
      <c r="CM880" s="13"/>
      <c r="CN880" s="13"/>
      <c r="CO880" s="13"/>
      <c r="CP880" s="13"/>
    </row>
    <row r="881" spans="90:94" ht="20.25" customHeight="1" x14ac:dyDescent="0.25">
      <c r="CL881" s="13"/>
      <c r="CM881" s="13"/>
      <c r="CN881" s="13"/>
      <c r="CO881" s="13"/>
      <c r="CP881" s="13"/>
    </row>
    <row r="882" spans="90:94" ht="20.25" customHeight="1" x14ac:dyDescent="0.25">
      <c r="CL882" s="13"/>
      <c r="CM882" s="13"/>
      <c r="CN882" s="13"/>
      <c r="CO882" s="13"/>
      <c r="CP882" s="13"/>
    </row>
    <row r="883" spans="90:94" ht="20.25" customHeight="1" x14ac:dyDescent="0.25">
      <c r="CL883" s="13"/>
      <c r="CM883" s="13"/>
      <c r="CN883" s="13"/>
      <c r="CO883" s="13"/>
      <c r="CP883" s="13"/>
    </row>
    <row r="884" spans="90:94" ht="20.25" customHeight="1" x14ac:dyDescent="0.25">
      <c r="CL884" s="13"/>
      <c r="CM884" s="13"/>
      <c r="CN884" s="13"/>
      <c r="CO884" s="13"/>
      <c r="CP884" s="13"/>
    </row>
    <row r="885" spans="90:94" ht="20.25" customHeight="1" x14ac:dyDescent="0.25">
      <c r="CL885" s="13"/>
      <c r="CM885" s="13"/>
      <c r="CN885" s="13"/>
      <c r="CO885" s="13"/>
      <c r="CP885" s="13"/>
    </row>
    <row r="886" spans="90:94" ht="20.25" customHeight="1" x14ac:dyDescent="0.25">
      <c r="CL886" s="13"/>
      <c r="CM886" s="13"/>
      <c r="CN886" s="13"/>
      <c r="CO886" s="13"/>
      <c r="CP886" s="13"/>
    </row>
    <row r="887" spans="90:94" ht="20.25" customHeight="1" x14ac:dyDescent="0.25">
      <c r="CL887" s="13"/>
      <c r="CM887" s="13"/>
      <c r="CN887" s="13"/>
      <c r="CO887" s="13"/>
      <c r="CP887" s="13"/>
    </row>
    <row r="888" spans="90:94" ht="20.25" customHeight="1" x14ac:dyDescent="0.25">
      <c r="CL888" s="13"/>
      <c r="CM888" s="13"/>
      <c r="CN888" s="13"/>
      <c r="CO888" s="13"/>
      <c r="CP888" s="13"/>
    </row>
    <row r="889" spans="90:94" ht="20.25" customHeight="1" x14ac:dyDescent="0.25">
      <c r="CL889" s="13"/>
      <c r="CM889" s="13"/>
      <c r="CN889" s="13"/>
      <c r="CO889" s="13"/>
      <c r="CP889" s="13"/>
    </row>
    <row r="890" spans="90:94" ht="20.25" customHeight="1" x14ac:dyDescent="0.25">
      <c r="CL890" s="13"/>
      <c r="CM890" s="13"/>
      <c r="CN890" s="13"/>
      <c r="CO890" s="13"/>
      <c r="CP890" s="13"/>
    </row>
    <row r="891" spans="90:94" ht="20.25" customHeight="1" x14ac:dyDescent="0.25">
      <c r="CL891" s="13"/>
      <c r="CM891" s="13"/>
      <c r="CN891" s="13"/>
      <c r="CO891" s="13"/>
      <c r="CP891" s="13"/>
    </row>
    <row r="892" spans="90:94" ht="20.25" customHeight="1" x14ac:dyDescent="0.25">
      <c r="CL892" s="13"/>
      <c r="CM892" s="13"/>
      <c r="CN892" s="13"/>
      <c r="CO892" s="13"/>
      <c r="CP892" s="13"/>
    </row>
    <row r="893" spans="90:94" ht="20.25" customHeight="1" x14ac:dyDescent="0.25">
      <c r="CL893" s="13"/>
      <c r="CM893" s="13"/>
      <c r="CN893" s="13"/>
      <c r="CO893" s="13"/>
      <c r="CP893" s="13"/>
    </row>
    <row r="894" spans="90:94" ht="20.25" customHeight="1" x14ac:dyDescent="0.25">
      <c r="CL894" s="13"/>
      <c r="CM894" s="13"/>
      <c r="CN894" s="13"/>
      <c r="CO894" s="13"/>
      <c r="CP894" s="13"/>
    </row>
    <row r="895" spans="90:94" ht="20.25" customHeight="1" x14ac:dyDescent="0.25">
      <c r="CL895" s="13"/>
      <c r="CM895" s="13"/>
      <c r="CN895" s="13"/>
      <c r="CO895" s="13"/>
      <c r="CP895" s="13"/>
    </row>
    <row r="896" spans="90:94" ht="20.25" customHeight="1" x14ac:dyDescent="0.25">
      <c r="CL896" s="13"/>
      <c r="CM896" s="13"/>
      <c r="CN896" s="13"/>
      <c r="CO896" s="13"/>
      <c r="CP896" s="13"/>
    </row>
    <row r="897" spans="90:94" ht="20.25" customHeight="1" x14ac:dyDescent="0.25">
      <c r="CL897" s="13"/>
      <c r="CM897" s="13"/>
      <c r="CN897" s="13"/>
      <c r="CO897" s="13"/>
      <c r="CP897" s="13"/>
    </row>
    <row r="898" spans="90:94" ht="20.25" customHeight="1" x14ac:dyDescent="0.25">
      <c r="CL898" s="13"/>
      <c r="CM898" s="13"/>
      <c r="CN898" s="13"/>
      <c r="CO898" s="13"/>
      <c r="CP898" s="13"/>
    </row>
    <row r="899" spans="90:94" ht="20.25" customHeight="1" x14ac:dyDescent="0.25">
      <c r="CL899" s="13"/>
      <c r="CM899" s="13"/>
      <c r="CN899" s="13"/>
      <c r="CO899" s="13"/>
      <c r="CP899" s="13"/>
    </row>
    <row r="900" spans="90:94" ht="20.25" customHeight="1" x14ac:dyDescent="0.25">
      <c r="CL900" s="13"/>
      <c r="CM900" s="13"/>
      <c r="CN900" s="13"/>
      <c r="CO900" s="13"/>
      <c r="CP900" s="13"/>
    </row>
    <row r="901" spans="90:94" ht="20.25" customHeight="1" x14ac:dyDescent="0.25">
      <c r="CL901" s="13"/>
      <c r="CM901" s="13"/>
      <c r="CN901" s="13"/>
      <c r="CO901" s="13"/>
      <c r="CP901" s="13"/>
    </row>
    <row r="902" spans="90:94" ht="20.25" customHeight="1" x14ac:dyDescent="0.25">
      <c r="CL902" s="13"/>
      <c r="CM902" s="13"/>
      <c r="CN902" s="13"/>
      <c r="CO902" s="13"/>
      <c r="CP902" s="13"/>
    </row>
    <row r="903" spans="90:94" ht="20.25" customHeight="1" x14ac:dyDescent="0.25">
      <c r="CL903" s="13"/>
      <c r="CM903" s="13"/>
      <c r="CN903" s="13"/>
      <c r="CO903" s="13"/>
      <c r="CP903" s="13"/>
    </row>
    <row r="904" spans="90:94" ht="20.25" customHeight="1" x14ac:dyDescent="0.25">
      <c r="CL904" s="13"/>
      <c r="CM904" s="13"/>
      <c r="CN904" s="13"/>
      <c r="CO904" s="13"/>
      <c r="CP904" s="13"/>
    </row>
    <row r="905" spans="90:94" ht="20.25" customHeight="1" x14ac:dyDescent="0.25">
      <c r="CL905" s="13"/>
      <c r="CM905" s="13"/>
      <c r="CN905" s="13"/>
      <c r="CO905" s="13"/>
      <c r="CP905" s="13"/>
    </row>
    <row r="906" spans="90:94" ht="20.25" customHeight="1" x14ac:dyDescent="0.25">
      <c r="CL906" s="13"/>
      <c r="CM906" s="13"/>
      <c r="CN906" s="13"/>
      <c r="CO906" s="13"/>
      <c r="CP906" s="13"/>
    </row>
    <row r="907" spans="90:94" ht="20.25" customHeight="1" x14ac:dyDescent="0.25">
      <c r="CL907" s="13"/>
      <c r="CM907" s="13"/>
      <c r="CN907" s="13"/>
      <c r="CO907" s="13"/>
      <c r="CP907" s="13"/>
    </row>
    <row r="908" spans="90:94" ht="20.25" customHeight="1" x14ac:dyDescent="0.25">
      <c r="CL908" s="13"/>
      <c r="CM908" s="13"/>
      <c r="CN908" s="13"/>
      <c r="CO908" s="13"/>
      <c r="CP908" s="13"/>
    </row>
    <row r="909" spans="90:94" ht="20.25" customHeight="1" x14ac:dyDescent="0.25">
      <c r="CL909" s="13"/>
      <c r="CM909" s="13"/>
      <c r="CN909" s="13"/>
      <c r="CO909" s="13"/>
      <c r="CP909" s="13"/>
    </row>
    <row r="910" spans="90:94" ht="20.25" customHeight="1" x14ac:dyDescent="0.25">
      <c r="CL910" s="13"/>
      <c r="CM910" s="13"/>
      <c r="CN910" s="13"/>
      <c r="CO910" s="13"/>
      <c r="CP910" s="13"/>
    </row>
    <row r="911" spans="90:94" ht="20.25" customHeight="1" x14ac:dyDescent="0.25">
      <c r="CL911" s="13"/>
      <c r="CM911" s="13"/>
      <c r="CN911" s="13"/>
      <c r="CO911" s="13"/>
      <c r="CP911" s="13"/>
    </row>
    <row r="912" spans="90:94" ht="20.25" customHeight="1" x14ac:dyDescent="0.25">
      <c r="CL912" s="13"/>
      <c r="CM912" s="13"/>
      <c r="CN912" s="13"/>
      <c r="CO912" s="13"/>
      <c r="CP912" s="13"/>
    </row>
    <row r="913" spans="90:94" ht="20.25" customHeight="1" x14ac:dyDescent="0.25">
      <c r="CL913" s="13"/>
      <c r="CM913" s="13"/>
      <c r="CN913" s="13"/>
      <c r="CO913" s="13"/>
      <c r="CP913" s="13"/>
    </row>
    <row r="914" spans="90:94" ht="20.25" customHeight="1" x14ac:dyDescent="0.25">
      <c r="CL914" s="13"/>
      <c r="CM914" s="13"/>
      <c r="CN914" s="13"/>
      <c r="CO914" s="13"/>
      <c r="CP914" s="13"/>
    </row>
    <row r="915" spans="90:94" ht="20.25" customHeight="1" x14ac:dyDescent="0.25">
      <c r="CL915" s="13"/>
      <c r="CM915" s="13"/>
      <c r="CN915" s="13"/>
      <c r="CO915" s="13"/>
      <c r="CP915" s="13"/>
    </row>
    <row r="916" spans="90:94" ht="20.25" customHeight="1" x14ac:dyDescent="0.25">
      <c r="CL916" s="13"/>
      <c r="CM916" s="13"/>
      <c r="CN916" s="13"/>
      <c r="CO916" s="13"/>
      <c r="CP916" s="13"/>
    </row>
    <row r="917" spans="90:94" ht="20.25" customHeight="1" x14ac:dyDescent="0.25">
      <c r="CL917" s="13"/>
      <c r="CM917" s="13"/>
      <c r="CN917" s="13"/>
      <c r="CO917" s="13"/>
      <c r="CP917" s="13"/>
    </row>
    <row r="918" spans="90:94" ht="20.25" customHeight="1" x14ac:dyDescent="0.25">
      <c r="CL918" s="13"/>
      <c r="CM918" s="13"/>
      <c r="CN918" s="13"/>
      <c r="CO918" s="13"/>
      <c r="CP918" s="13"/>
    </row>
    <row r="919" spans="90:94" ht="20.25" customHeight="1" x14ac:dyDescent="0.25">
      <c r="CL919" s="13"/>
      <c r="CM919" s="13"/>
      <c r="CN919" s="13"/>
      <c r="CO919" s="13"/>
      <c r="CP919" s="13"/>
    </row>
    <row r="920" spans="90:94" ht="20.25" customHeight="1" x14ac:dyDescent="0.25">
      <c r="CL920" s="13"/>
      <c r="CM920" s="13"/>
      <c r="CN920" s="13"/>
      <c r="CO920" s="13"/>
      <c r="CP920" s="13"/>
    </row>
    <row r="921" spans="90:94" ht="20.25" customHeight="1" x14ac:dyDescent="0.25">
      <c r="CL921" s="13"/>
      <c r="CM921" s="13"/>
      <c r="CN921" s="13"/>
      <c r="CO921" s="13"/>
      <c r="CP921" s="13"/>
    </row>
    <row r="922" spans="90:94" ht="20.25" customHeight="1" x14ac:dyDescent="0.25">
      <c r="CL922" s="13"/>
      <c r="CM922" s="13"/>
      <c r="CN922" s="13"/>
      <c r="CO922" s="13"/>
      <c r="CP922" s="13"/>
    </row>
    <row r="923" spans="90:94" ht="20.25" customHeight="1" x14ac:dyDescent="0.25">
      <c r="CL923" s="13"/>
      <c r="CM923" s="13"/>
      <c r="CN923" s="13"/>
      <c r="CO923" s="13"/>
      <c r="CP923" s="13"/>
    </row>
    <row r="924" spans="90:94" ht="20.25" customHeight="1" x14ac:dyDescent="0.25">
      <c r="CL924" s="13"/>
      <c r="CM924" s="13"/>
      <c r="CN924" s="13"/>
      <c r="CO924" s="13"/>
      <c r="CP924" s="13"/>
    </row>
    <row r="925" spans="90:94" ht="20.25" customHeight="1" x14ac:dyDescent="0.25">
      <c r="CL925" s="13"/>
      <c r="CM925" s="13"/>
      <c r="CN925" s="13"/>
      <c r="CO925" s="13"/>
      <c r="CP925" s="13"/>
    </row>
    <row r="926" spans="90:94" ht="20.25" customHeight="1" x14ac:dyDescent="0.25">
      <c r="CL926" s="13"/>
      <c r="CM926" s="13"/>
      <c r="CN926" s="13"/>
      <c r="CO926" s="13"/>
      <c r="CP926" s="13"/>
    </row>
    <row r="927" spans="90:94" ht="20.25" customHeight="1" x14ac:dyDescent="0.25">
      <c r="CL927" s="13"/>
      <c r="CM927" s="13"/>
      <c r="CN927" s="13"/>
      <c r="CO927" s="13"/>
      <c r="CP927" s="13"/>
    </row>
    <row r="928" spans="90:94" ht="20.25" customHeight="1" x14ac:dyDescent="0.25">
      <c r="CL928" s="13"/>
      <c r="CM928" s="13"/>
      <c r="CN928" s="13"/>
      <c r="CO928" s="13"/>
      <c r="CP928" s="13"/>
    </row>
    <row r="929" spans="90:94" ht="20.25" customHeight="1" x14ac:dyDescent="0.25">
      <c r="CL929" s="13"/>
      <c r="CM929" s="13"/>
      <c r="CN929" s="13"/>
      <c r="CO929" s="13"/>
      <c r="CP929" s="13"/>
    </row>
    <row r="930" spans="90:94" ht="20.25" customHeight="1" x14ac:dyDescent="0.25">
      <c r="CL930" s="13"/>
      <c r="CM930" s="13"/>
      <c r="CN930" s="13"/>
      <c r="CO930" s="13"/>
      <c r="CP930" s="13"/>
    </row>
    <row r="931" spans="90:94" ht="20.25" customHeight="1" x14ac:dyDescent="0.25">
      <c r="CL931" s="13"/>
      <c r="CM931" s="13"/>
      <c r="CN931" s="13"/>
      <c r="CO931" s="13"/>
      <c r="CP931" s="13"/>
    </row>
    <row r="932" spans="90:94" ht="20.25" customHeight="1" x14ac:dyDescent="0.25">
      <c r="CL932" s="13"/>
      <c r="CM932" s="13"/>
      <c r="CN932" s="13"/>
      <c r="CO932" s="13"/>
      <c r="CP932" s="13"/>
    </row>
    <row r="933" spans="90:94" ht="20.25" customHeight="1" x14ac:dyDescent="0.25">
      <c r="CL933" s="13"/>
      <c r="CM933" s="13"/>
      <c r="CN933" s="13"/>
      <c r="CO933" s="13"/>
      <c r="CP933" s="13"/>
    </row>
    <row r="934" spans="90:94" ht="20.25" customHeight="1" x14ac:dyDescent="0.25">
      <c r="CL934" s="13"/>
      <c r="CM934" s="13"/>
      <c r="CN934" s="13"/>
      <c r="CO934" s="13"/>
      <c r="CP934" s="13"/>
    </row>
    <row r="935" spans="90:94" ht="20.25" customHeight="1" x14ac:dyDescent="0.25">
      <c r="CL935" s="13"/>
      <c r="CM935" s="13"/>
      <c r="CN935" s="13"/>
      <c r="CO935" s="13"/>
      <c r="CP935" s="13"/>
    </row>
    <row r="936" spans="90:94" ht="20.25" customHeight="1" x14ac:dyDescent="0.25">
      <c r="CL936" s="13"/>
      <c r="CM936" s="13"/>
      <c r="CN936" s="13"/>
      <c r="CO936" s="13"/>
      <c r="CP936" s="13"/>
    </row>
    <row r="937" spans="90:94" ht="20.25" customHeight="1" x14ac:dyDescent="0.25">
      <c r="CL937" s="13"/>
      <c r="CM937" s="13"/>
      <c r="CN937" s="13"/>
      <c r="CO937" s="13"/>
      <c r="CP937" s="13"/>
    </row>
    <row r="938" spans="90:94" ht="20.25" customHeight="1" x14ac:dyDescent="0.25">
      <c r="CL938" s="13"/>
      <c r="CM938" s="13"/>
      <c r="CN938" s="13"/>
      <c r="CO938" s="13"/>
      <c r="CP938" s="13"/>
    </row>
    <row r="939" spans="90:94" ht="20.25" customHeight="1" x14ac:dyDescent="0.25">
      <c r="CL939" s="13"/>
      <c r="CM939" s="13"/>
      <c r="CN939" s="13"/>
      <c r="CO939" s="13"/>
      <c r="CP939" s="13"/>
    </row>
    <row r="940" spans="90:94" ht="20.25" customHeight="1" x14ac:dyDescent="0.25">
      <c r="CL940" s="13"/>
      <c r="CM940" s="13"/>
      <c r="CN940" s="13"/>
      <c r="CO940" s="13"/>
      <c r="CP940" s="13"/>
    </row>
    <row r="941" spans="90:94" ht="20.25" customHeight="1" x14ac:dyDescent="0.25">
      <c r="CL941" s="13"/>
      <c r="CM941" s="13"/>
      <c r="CN941" s="13"/>
      <c r="CO941" s="13"/>
      <c r="CP941" s="13"/>
    </row>
    <row r="942" spans="90:94" ht="20.25" customHeight="1" x14ac:dyDescent="0.25">
      <c r="CL942" s="13"/>
      <c r="CM942" s="13"/>
      <c r="CN942" s="13"/>
      <c r="CO942" s="13"/>
      <c r="CP942" s="13"/>
    </row>
    <row r="943" spans="90:94" ht="20.25" customHeight="1" x14ac:dyDescent="0.25">
      <c r="CL943" s="13"/>
      <c r="CM943" s="13"/>
      <c r="CN943" s="13"/>
      <c r="CO943" s="13"/>
      <c r="CP943" s="13"/>
    </row>
    <row r="944" spans="90:94" ht="20.25" customHeight="1" x14ac:dyDescent="0.25">
      <c r="CL944" s="13"/>
      <c r="CM944" s="13"/>
      <c r="CN944" s="13"/>
      <c r="CO944" s="13"/>
      <c r="CP944" s="13"/>
    </row>
    <row r="945" spans="90:94" ht="20.25" customHeight="1" x14ac:dyDescent="0.25">
      <c r="CL945" s="13"/>
      <c r="CM945" s="13"/>
      <c r="CN945" s="13"/>
      <c r="CO945" s="13"/>
      <c r="CP945" s="13"/>
    </row>
    <row r="946" spans="90:94" ht="20.25" customHeight="1" x14ac:dyDescent="0.25">
      <c r="CL946" s="13"/>
      <c r="CM946" s="13"/>
      <c r="CN946" s="13"/>
      <c r="CO946" s="13"/>
      <c r="CP946" s="13"/>
    </row>
    <row r="947" spans="90:94" ht="20.25" customHeight="1" x14ac:dyDescent="0.25">
      <c r="CL947" s="13"/>
      <c r="CM947" s="13"/>
      <c r="CN947" s="13"/>
      <c r="CO947" s="13"/>
      <c r="CP947" s="13"/>
    </row>
    <row r="948" spans="90:94" ht="20.25" customHeight="1" x14ac:dyDescent="0.25">
      <c r="CL948" s="13"/>
      <c r="CM948" s="13"/>
      <c r="CN948" s="13"/>
      <c r="CO948" s="13"/>
      <c r="CP948" s="13"/>
    </row>
    <row r="949" spans="90:94" ht="20.25" customHeight="1" x14ac:dyDescent="0.25">
      <c r="CL949" s="13"/>
      <c r="CM949" s="13"/>
      <c r="CN949" s="13"/>
      <c r="CO949" s="13"/>
      <c r="CP949" s="13"/>
    </row>
    <row r="950" spans="90:94" ht="20.25" customHeight="1" x14ac:dyDescent="0.25">
      <c r="CL950" s="13"/>
      <c r="CM950" s="13"/>
      <c r="CN950" s="13"/>
      <c r="CO950" s="13"/>
      <c r="CP950" s="13"/>
    </row>
    <row r="951" spans="90:94" ht="20.25" customHeight="1" x14ac:dyDescent="0.25">
      <c r="CL951" s="13"/>
      <c r="CM951" s="13"/>
      <c r="CN951" s="13"/>
      <c r="CO951" s="13"/>
      <c r="CP951" s="13"/>
    </row>
    <row r="952" spans="90:94" ht="20.25" customHeight="1" x14ac:dyDescent="0.25">
      <c r="CL952" s="13"/>
      <c r="CM952" s="13"/>
      <c r="CN952" s="13"/>
      <c r="CO952" s="13"/>
      <c r="CP952" s="13"/>
    </row>
    <row r="953" spans="90:94" ht="20.25" customHeight="1" x14ac:dyDescent="0.25">
      <c r="CL953" s="13"/>
      <c r="CM953" s="13"/>
      <c r="CN953" s="13"/>
      <c r="CO953" s="13"/>
      <c r="CP953" s="13"/>
    </row>
    <row r="954" spans="90:94" ht="20.25" customHeight="1" x14ac:dyDescent="0.25">
      <c r="CL954" s="13"/>
      <c r="CM954" s="13"/>
      <c r="CN954" s="13"/>
      <c r="CO954" s="13"/>
      <c r="CP954" s="13"/>
    </row>
    <row r="955" spans="90:94" ht="20.25" customHeight="1" x14ac:dyDescent="0.25">
      <c r="CL955" s="13"/>
      <c r="CM955" s="13"/>
      <c r="CN955" s="13"/>
      <c r="CO955" s="13"/>
      <c r="CP955" s="13"/>
    </row>
    <row r="956" spans="90:94" ht="20.25" customHeight="1" x14ac:dyDescent="0.25">
      <c r="CL956" s="13"/>
      <c r="CM956" s="13"/>
      <c r="CN956" s="13"/>
      <c r="CO956" s="13"/>
      <c r="CP956" s="13"/>
    </row>
    <row r="957" spans="90:94" ht="20.25" customHeight="1" x14ac:dyDescent="0.25">
      <c r="CL957" s="13"/>
      <c r="CM957" s="13"/>
      <c r="CN957" s="13"/>
      <c r="CO957" s="13"/>
      <c r="CP957" s="13"/>
    </row>
    <row r="958" spans="90:94" ht="20.25" customHeight="1" x14ac:dyDescent="0.25">
      <c r="CL958" s="13"/>
      <c r="CM958" s="13"/>
      <c r="CN958" s="13"/>
      <c r="CO958" s="13"/>
      <c r="CP958" s="13"/>
    </row>
    <row r="959" spans="90:94" ht="20.25" customHeight="1" x14ac:dyDescent="0.25">
      <c r="CL959" s="13"/>
      <c r="CM959" s="13"/>
      <c r="CN959" s="13"/>
      <c r="CO959" s="13"/>
      <c r="CP959" s="13"/>
    </row>
    <row r="960" spans="90:94" ht="20.25" customHeight="1" x14ac:dyDescent="0.25">
      <c r="CL960" s="13"/>
      <c r="CM960" s="13"/>
      <c r="CN960" s="13"/>
      <c r="CO960" s="13"/>
      <c r="CP960" s="13"/>
    </row>
    <row r="961" spans="90:94" ht="20.25" customHeight="1" x14ac:dyDescent="0.25">
      <c r="CL961" s="13"/>
      <c r="CM961" s="13"/>
      <c r="CN961" s="13"/>
      <c r="CO961" s="13"/>
      <c r="CP961" s="13"/>
    </row>
    <row r="962" spans="90:94" ht="20.25" customHeight="1" x14ac:dyDescent="0.25">
      <c r="CL962" s="13"/>
      <c r="CM962" s="13"/>
      <c r="CN962" s="13"/>
      <c r="CO962" s="13"/>
      <c r="CP962" s="13"/>
    </row>
    <row r="963" spans="90:94" ht="20.25" customHeight="1" x14ac:dyDescent="0.25">
      <c r="CL963" s="13"/>
      <c r="CM963" s="13"/>
      <c r="CN963" s="13"/>
      <c r="CO963" s="13"/>
      <c r="CP963" s="13"/>
    </row>
    <row r="964" spans="90:94" ht="20.25" customHeight="1" x14ac:dyDescent="0.25">
      <c r="CL964" s="13"/>
      <c r="CM964" s="13"/>
      <c r="CN964" s="13"/>
      <c r="CO964" s="13"/>
      <c r="CP964" s="13"/>
    </row>
    <row r="965" spans="90:94" ht="20.25" customHeight="1" x14ac:dyDescent="0.25">
      <c r="CL965" s="13"/>
      <c r="CM965" s="13"/>
      <c r="CN965" s="13"/>
      <c r="CO965" s="13"/>
      <c r="CP965" s="13"/>
    </row>
    <row r="966" spans="90:94" ht="20.25" customHeight="1" x14ac:dyDescent="0.25">
      <c r="CL966" s="13"/>
      <c r="CM966" s="13"/>
      <c r="CN966" s="13"/>
      <c r="CO966" s="13"/>
      <c r="CP966" s="13"/>
    </row>
    <row r="967" spans="90:94" ht="20.25" customHeight="1" x14ac:dyDescent="0.25">
      <c r="CL967" s="13"/>
      <c r="CM967" s="13"/>
      <c r="CN967" s="13"/>
      <c r="CO967" s="13"/>
      <c r="CP967" s="13"/>
    </row>
    <row r="968" spans="90:94" ht="20.25" customHeight="1" x14ac:dyDescent="0.25">
      <c r="CL968" s="13"/>
      <c r="CM968" s="13"/>
      <c r="CN968" s="13"/>
      <c r="CO968" s="13"/>
      <c r="CP968" s="13"/>
    </row>
    <row r="969" spans="90:94" ht="20.25" customHeight="1" x14ac:dyDescent="0.25">
      <c r="CL969" s="13"/>
      <c r="CM969" s="13"/>
      <c r="CN969" s="13"/>
      <c r="CO969" s="13"/>
      <c r="CP969" s="13"/>
    </row>
    <row r="970" spans="90:94" ht="20.25" customHeight="1" x14ac:dyDescent="0.25">
      <c r="CL970" s="13"/>
      <c r="CM970" s="13"/>
      <c r="CN970" s="13"/>
      <c r="CO970" s="13"/>
      <c r="CP970" s="13"/>
    </row>
    <row r="971" spans="90:94" ht="20.25" customHeight="1" x14ac:dyDescent="0.25">
      <c r="CL971" s="13"/>
      <c r="CM971" s="13"/>
      <c r="CN971" s="13"/>
      <c r="CO971" s="13"/>
      <c r="CP971" s="13"/>
    </row>
    <row r="972" spans="90:94" ht="20.25" customHeight="1" x14ac:dyDescent="0.25">
      <c r="CL972" s="13"/>
      <c r="CM972" s="13"/>
      <c r="CN972" s="13"/>
      <c r="CO972" s="13"/>
      <c r="CP972" s="13"/>
    </row>
    <row r="973" spans="90:94" ht="20.25" customHeight="1" x14ac:dyDescent="0.25">
      <c r="CL973" s="13"/>
      <c r="CM973" s="13"/>
      <c r="CN973" s="13"/>
      <c r="CO973" s="13"/>
      <c r="CP973" s="13"/>
    </row>
    <row r="974" spans="90:94" ht="20.25" customHeight="1" x14ac:dyDescent="0.25">
      <c r="CL974" s="13"/>
      <c r="CM974" s="13"/>
      <c r="CN974" s="13"/>
      <c r="CO974" s="13"/>
      <c r="CP974" s="13"/>
    </row>
    <row r="975" spans="90:94" ht="20.25" customHeight="1" x14ac:dyDescent="0.25">
      <c r="CL975" s="13"/>
      <c r="CM975" s="13"/>
      <c r="CN975" s="13"/>
      <c r="CO975" s="13"/>
      <c r="CP975" s="13"/>
    </row>
    <row r="976" spans="90:94" ht="20.25" customHeight="1" x14ac:dyDescent="0.25">
      <c r="CL976" s="13"/>
      <c r="CM976" s="13"/>
      <c r="CN976" s="13"/>
      <c r="CO976" s="13"/>
      <c r="CP976" s="13"/>
    </row>
    <row r="977" spans="90:94" ht="20.25" customHeight="1" x14ac:dyDescent="0.25">
      <c r="CL977" s="13"/>
      <c r="CM977" s="13"/>
      <c r="CN977" s="13"/>
      <c r="CO977" s="13"/>
      <c r="CP977" s="13"/>
    </row>
    <row r="978" spans="90:94" ht="20.25" customHeight="1" x14ac:dyDescent="0.25">
      <c r="CL978" s="13"/>
      <c r="CM978" s="13"/>
      <c r="CN978" s="13"/>
      <c r="CO978" s="13"/>
      <c r="CP978" s="13"/>
    </row>
    <row r="979" spans="90:94" ht="20.25" customHeight="1" x14ac:dyDescent="0.25">
      <c r="CL979" s="13"/>
      <c r="CM979" s="13"/>
      <c r="CN979" s="13"/>
      <c r="CO979" s="13"/>
      <c r="CP979" s="13"/>
    </row>
    <row r="980" spans="90:94" ht="20.25" customHeight="1" x14ac:dyDescent="0.25">
      <c r="CL980" s="13"/>
      <c r="CM980" s="13"/>
      <c r="CN980" s="13"/>
      <c r="CO980" s="13"/>
      <c r="CP980" s="13"/>
    </row>
    <row r="981" spans="90:94" ht="20.25" customHeight="1" x14ac:dyDescent="0.25">
      <c r="CL981" s="13"/>
      <c r="CM981" s="13"/>
      <c r="CN981" s="13"/>
      <c r="CO981" s="13"/>
      <c r="CP981" s="13"/>
    </row>
    <row r="982" spans="90:94" ht="20.25" customHeight="1" x14ac:dyDescent="0.25">
      <c r="CL982" s="13"/>
      <c r="CM982" s="13"/>
      <c r="CN982" s="13"/>
      <c r="CO982" s="13"/>
      <c r="CP982" s="13"/>
    </row>
    <row r="983" spans="90:94" ht="20.25" customHeight="1" x14ac:dyDescent="0.25">
      <c r="CL983" s="13"/>
      <c r="CM983" s="13"/>
      <c r="CN983" s="13"/>
      <c r="CO983" s="13"/>
      <c r="CP983" s="13"/>
    </row>
    <row r="984" spans="90:94" ht="20.25" customHeight="1" x14ac:dyDescent="0.25">
      <c r="CL984" s="13"/>
      <c r="CM984" s="13"/>
      <c r="CN984" s="13"/>
      <c r="CO984" s="13"/>
      <c r="CP984" s="13"/>
    </row>
    <row r="985" spans="90:94" ht="20.25" customHeight="1" x14ac:dyDescent="0.25">
      <c r="CL985" s="13"/>
      <c r="CM985" s="13"/>
      <c r="CN985" s="13"/>
      <c r="CO985" s="13"/>
      <c r="CP985" s="13"/>
    </row>
    <row r="986" spans="90:94" ht="20.25" customHeight="1" x14ac:dyDescent="0.25">
      <c r="CL986" s="13"/>
      <c r="CM986" s="13"/>
      <c r="CN986" s="13"/>
      <c r="CO986" s="13"/>
      <c r="CP986" s="13"/>
    </row>
    <row r="987" spans="90:94" ht="20.25" customHeight="1" x14ac:dyDescent="0.25">
      <c r="CL987" s="13"/>
      <c r="CM987" s="13"/>
      <c r="CN987" s="13"/>
      <c r="CO987" s="13"/>
      <c r="CP987" s="13"/>
    </row>
    <row r="988" spans="90:94" ht="20.25" customHeight="1" x14ac:dyDescent="0.25">
      <c r="CL988" s="13"/>
      <c r="CM988" s="13"/>
      <c r="CN988" s="13"/>
      <c r="CO988" s="13"/>
      <c r="CP988" s="13"/>
    </row>
    <row r="989" spans="90:94" ht="20.25" customHeight="1" x14ac:dyDescent="0.25">
      <c r="CL989" s="13"/>
      <c r="CM989" s="13"/>
      <c r="CN989" s="13"/>
      <c r="CO989" s="13"/>
      <c r="CP989" s="13"/>
    </row>
    <row r="990" spans="90:94" ht="20.25" customHeight="1" x14ac:dyDescent="0.25">
      <c r="CL990" s="13"/>
      <c r="CM990" s="13"/>
      <c r="CN990" s="13"/>
      <c r="CO990" s="13"/>
      <c r="CP990" s="13"/>
    </row>
    <row r="991" spans="90:94" ht="20.25" customHeight="1" x14ac:dyDescent="0.25">
      <c r="CL991" s="13"/>
      <c r="CM991" s="13"/>
      <c r="CN991" s="13"/>
      <c r="CO991" s="13"/>
      <c r="CP991" s="13"/>
    </row>
    <row r="992" spans="90:94" ht="20.25" customHeight="1" x14ac:dyDescent="0.25">
      <c r="CL992" s="13"/>
      <c r="CM992" s="13"/>
      <c r="CN992" s="13"/>
      <c r="CO992" s="13"/>
      <c r="CP992" s="13"/>
    </row>
    <row r="993" spans="90:94" ht="20.25" customHeight="1" x14ac:dyDescent="0.25">
      <c r="CL993" s="13"/>
      <c r="CM993" s="13"/>
      <c r="CN993" s="13"/>
      <c r="CO993" s="13"/>
      <c r="CP993" s="13"/>
    </row>
    <row r="994" spans="90:94" ht="20.25" customHeight="1" x14ac:dyDescent="0.25">
      <c r="CL994" s="13"/>
      <c r="CM994" s="13"/>
      <c r="CN994" s="13"/>
      <c r="CO994" s="13"/>
      <c r="CP994" s="13"/>
    </row>
    <row r="995" spans="90:94" ht="20.25" customHeight="1" x14ac:dyDescent="0.25">
      <c r="CL995" s="13"/>
      <c r="CM995" s="13"/>
      <c r="CN995" s="13"/>
      <c r="CO995" s="13"/>
      <c r="CP995" s="13"/>
    </row>
    <row r="996" spans="90:94" ht="20.25" customHeight="1" x14ac:dyDescent="0.25">
      <c r="CL996" s="13"/>
      <c r="CM996" s="13"/>
      <c r="CN996" s="13"/>
      <c r="CO996" s="13"/>
      <c r="CP996" s="13"/>
    </row>
    <row r="997" spans="90:94" ht="20.25" customHeight="1" x14ac:dyDescent="0.25">
      <c r="CL997" s="13"/>
      <c r="CM997" s="13"/>
      <c r="CN997" s="13"/>
      <c r="CO997" s="13"/>
      <c r="CP997" s="13"/>
    </row>
    <row r="998" spans="90:94" ht="20.25" customHeight="1" x14ac:dyDescent="0.25">
      <c r="CL998" s="13"/>
      <c r="CM998" s="13"/>
      <c r="CN998" s="13"/>
      <c r="CO998" s="13"/>
      <c r="CP998" s="13"/>
    </row>
  </sheetData>
  <autoFilter ref="A1:CO153" xr:uid="{00000000-0001-0000-0000-000000000000}">
    <sortState xmlns:xlrd2="http://schemas.microsoft.com/office/spreadsheetml/2017/richdata2" ref="A2:CO153">
      <sortCondition descending="1" ref="E1:E153"/>
    </sortState>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Sotelo Aguilar</dc:creator>
  <cp:lastModifiedBy>Juan Diego Sotelo Aguilar</cp:lastModifiedBy>
  <dcterms:modified xsi:type="dcterms:W3CDTF">2026-06-01T20:07:05Z</dcterms:modified>
</cp:coreProperties>
</file>